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<sst xmlns="http://schemas.openxmlformats.org/spreadsheetml/2006/main" count="247" uniqueCount="211">
  <si>
    <t>S. No.</t>
  </si>
  <si>
    <t>Section</t>
  </si>
  <si>
    <t>Process</t>
  </si>
  <si>
    <t>Code</t>
  </si>
  <si>
    <t>Description</t>
  </si>
  <si>
    <t>Calculated</t>
  </si>
  <si>
    <t>Legend</t>
  </si>
  <si>
    <t>Ammonia</t>
  </si>
  <si>
    <t>Compressor 1 A_C01</t>
  </si>
  <si>
    <t>AM_01</t>
  </si>
  <si>
    <t>Adiabatic Isentropic Compression of H2, N2 (10 bar to 200 bar, 300K to 713K)</t>
  </si>
  <si>
    <t>T2, Work and DeltaH</t>
  </si>
  <si>
    <t>C</t>
  </si>
  <si>
    <t>Compressor</t>
  </si>
  <si>
    <t>Hypo Compressor 1 A_C01</t>
  </si>
  <si>
    <t>AM_02</t>
  </si>
  <si>
    <t>Adiabatic Isentropic Compression of H2, N2 (10 bar to 200 bar, 300K to 713K), Gamma constant 1.41</t>
  </si>
  <si>
    <t>Work and DeltaH</t>
  </si>
  <si>
    <t>CD</t>
  </si>
  <si>
    <t>Condensor</t>
  </si>
  <si>
    <t>Heat Exchanger 1 A_H01</t>
  </si>
  <si>
    <t>AM_03</t>
  </si>
  <si>
    <t>Heat to Reactor Temperature, taken T1 from AM_01</t>
  </si>
  <si>
    <t>Q sensible (heating)</t>
  </si>
  <si>
    <t>H</t>
  </si>
  <si>
    <t>Heat Exchanger</t>
  </si>
  <si>
    <t>Mixing</t>
  </si>
  <si>
    <t>NA</t>
  </si>
  <si>
    <t>Streams Feed and Recycle are mixed at 200 bar 500 deg</t>
  </si>
  <si>
    <t>R</t>
  </si>
  <si>
    <t>Reactor</t>
  </si>
  <si>
    <t>Reactor A_R01</t>
  </si>
  <si>
    <t>AM_04</t>
  </si>
  <si>
    <t>Tin, Tout, Fresh feed, Recycled feed, Overall Conversion 20%, Heat of Reaction, Sensible Heats, ASSUMED ISOTHERMAL REACTOR 500 DEG CELSIUS OPERATIONS</t>
  </si>
  <si>
    <t>Q total , T2.</t>
  </si>
  <si>
    <t>P</t>
  </si>
  <si>
    <t>Pump</t>
  </si>
  <si>
    <t>Throttler A_C_02</t>
  </si>
  <si>
    <t>AM_05</t>
  </si>
  <si>
    <t>Throttling temperature rise or fall approximately 0 400 bar to 80 bar</t>
  </si>
  <si>
    <t>Condensor Duty</t>
  </si>
  <si>
    <t>S</t>
  </si>
  <si>
    <t>Separator</t>
  </si>
  <si>
    <t>Condensor A_CD01</t>
  </si>
  <si>
    <t>AM_06</t>
  </si>
  <si>
    <t>Condensor Duty to Cool Ammonia to certain gas - liq ratio (product - recycle ratio)</t>
  </si>
  <si>
    <t>T2, Work</t>
  </si>
  <si>
    <t>Compressor A_C02</t>
  </si>
  <si>
    <t>AM_07</t>
  </si>
  <si>
    <t>To compresss N2 H2 recycled NH3 vapors to 210 bar from 80 bar</t>
  </si>
  <si>
    <t>AM_08</t>
  </si>
  <si>
    <t xml:space="preserve">Heat Recycle Stream to 450 deg Celsius for mixing again </t>
  </si>
  <si>
    <t>Work</t>
  </si>
  <si>
    <t>Nitrogen</t>
  </si>
  <si>
    <t>Compressor 1 N_C01</t>
  </si>
  <si>
    <t>N2_01</t>
  </si>
  <si>
    <t>To compress low pressure air for easier transport</t>
  </si>
  <si>
    <t>Condensor 1 N_CD01</t>
  </si>
  <si>
    <t>N2_02</t>
  </si>
  <si>
    <t>For separating moisture and avoid ice in cryo unit., removes 60% water content, zeolite will remove CO2 and H2O leftover. Can be optimised further for maximum energy saving and purity.</t>
  </si>
  <si>
    <t>Cooling duty, composition after condensation, temperature final</t>
  </si>
  <si>
    <t>Heat Exchanger 1 N_H01</t>
  </si>
  <si>
    <t>N2_03</t>
  </si>
  <si>
    <t xml:space="preserve">To bring to cryogenic temperatures i.e. 30 deg Celsius to -170 deg Celsius, used NIST Webbook Cp range 100 to 500K </t>
  </si>
  <si>
    <t>Power rating</t>
  </si>
  <si>
    <t>Cryo Unit N_S01</t>
  </si>
  <si>
    <t>N2_04</t>
  </si>
  <si>
    <t>Cryogenic Unit Energy Balance</t>
  </si>
  <si>
    <t>Energy Balance</t>
  </si>
  <si>
    <t>Heat Exchanger 2 N_H02</t>
  </si>
  <si>
    <t>N2_05</t>
  </si>
  <si>
    <t xml:space="preserve">Post cryogenic temperatures i.e. -170 to 27 deg Celsius, used NIST Webbook Cp range 100 to 500K </t>
  </si>
  <si>
    <t>Compressor 2 N_C02</t>
  </si>
  <si>
    <t>N2_06</t>
  </si>
  <si>
    <t>Post Cryo Pressure Increase</t>
  </si>
  <si>
    <t>Compression final temp, compressor duty</t>
  </si>
  <si>
    <t>Standard PSA Operating Temperatures</t>
  </si>
  <si>
    <t>Hydrogen</t>
  </si>
  <si>
    <t>Desulphurizer H_S01</t>
  </si>
  <si>
    <t>H2_01</t>
  </si>
  <si>
    <t>Calculated using Enthalpy of Desulphurization</t>
  </si>
  <si>
    <t>Power</t>
  </si>
  <si>
    <t>Heat Exchanger 1 H_H01</t>
  </si>
  <si>
    <t>H2_02</t>
  </si>
  <si>
    <t>CH4 and H2O after Desulph to SMR 400 TO 550 deg C</t>
  </si>
  <si>
    <t>PSA systems for gas separation (CO₂, H₂O, CO, etc.) typically operate at:</t>
  </si>
  <si>
    <t>The Joule-Thomson Effect</t>
  </si>
  <si>
    <t>Heat Exchanger 2 H_H02</t>
  </si>
  <si>
    <t>H2_03</t>
  </si>
  <si>
    <t>CH4 , H2O, CO, H2O after SMR to WGS 400 TO 550 deg C</t>
  </si>
  <si>
    <t>Target Gas</t>
  </si>
  <si>
    <t>Typical PSA Temp Range</t>
  </si>
  <si>
    <t>Adsorbent Used</t>
  </si>
  <si>
    <t>When a gas is throttled (pressure drops across a valve with no work or heat exchange):</t>
  </si>
  <si>
    <t>Reactor 1 H_R01</t>
  </si>
  <si>
    <t>H2_04</t>
  </si>
  <si>
    <t>SMR Tin, Tout, deltaHrxn</t>
  </si>
  <si>
    <t>Heating cooling duty</t>
  </si>
  <si>
    <t>H₂O (water vapor)</t>
  </si>
  <si>
    <t>20–60°C (ambient)</t>
  </si>
  <si>
    <t>Silica gel, Zeolite 3A</t>
  </si>
  <si>
    <t>Reactor 2 H_R02</t>
  </si>
  <si>
    <t>H2_05</t>
  </si>
  <si>
    <t>WGS Tin, Tout, delta Hrxn</t>
  </si>
  <si>
    <t>CO₂</t>
  </si>
  <si>
    <t>20–80°C</t>
  </si>
  <si>
    <t>Zeolite 13X, activated carbon</t>
  </si>
  <si>
    <t>μ_JT</t>
  </si>
  <si>
    <t>Effect</t>
  </si>
  <si>
    <t>Examples</t>
  </si>
  <si>
    <t>Heat Exchanger H_H03</t>
  </si>
  <si>
    <t>H2_06</t>
  </si>
  <si>
    <t>Heat Exchange before PSA</t>
  </si>
  <si>
    <t>CO</t>
  </si>
  <si>
    <t>20–50°C</t>
  </si>
  <si>
    <t>Zeolite 5A, CuCl-based</t>
  </si>
  <si>
    <t>Positive</t>
  </si>
  <si>
    <t>Gas cools on expansion</t>
  </si>
  <si>
    <t>CO₂, N₂, O₂, air, CH₄, most gases</t>
  </si>
  <si>
    <t>Throttling H_H04</t>
  </si>
  <si>
    <t>H2_07</t>
  </si>
  <si>
    <t xml:space="preserve">Throttling + Cooling After PSA </t>
  </si>
  <si>
    <t>H₂ purification</t>
  </si>
  <si>
    <t>20–60°C</t>
  </si>
  <si>
    <t>Activated carbon + Zeolite</t>
  </si>
  <si>
    <t>Negative</t>
  </si>
  <si>
    <t>Gas warms on expansion</t>
  </si>
  <si>
    <t>H₂, Helium (at room temp)</t>
  </si>
  <si>
    <t>All</t>
  </si>
  <si>
    <t>main</t>
  </si>
  <si>
    <t>All streams</t>
  </si>
  <si>
    <t>Stream compositions and PipeDia fxn call</t>
  </si>
  <si>
    <t>Zero</t>
  </si>
  <si>
    <t>No temperature change</t>
  </si>
  <si>
    <t>Ideal gas</t>
  </si>
  <si>
    <t>PipeDia</t>
  </si>
  <si>
    <t>Any stream</t>
  </si>
  <si>
    <t>Velocity and diameter calculation</t>
  </si>
  <si>
    <t>Step 2: PSA Operating Conditions</t>
  </si>
  <si>
    <t>Your Specific Case — Pure H₂ at 30°C</t>
  </si>
  <si>
    <t>Parameter</t>
  </si>
  <si>
    <t>Typical Value</t>
  </si>
  <si>
    <t>H₂ has a negative μ_JT at room temperature</t>
  </si>
  <si>
    <t>Feed temperature</t>
  </si>
  <si>
    <t>25–40°C</t>
  </si>
  <si>
    <t>So throttling slightly warms your H₂</t>
  </si>
  <si>
    <t>Feed pressure</t>
  </si>
  <si>
    <t>25–30 bar</t>
  </si>
  <si>
    <t>That is why you go from 30°C → ~30.6°C across the valve</t>
  </si>
  <si>
    <t>Adsorption pressure</t>
  </si>
  <si>
    <t>20–30 bar</t>
  </si>
  <si>
    <t>Desorption/purge pressure</t>
  </si>
  <si>
    <t>1–1.5 bar</t>
  </si>
  <si>
    <t>H₂ purity out</t>
  </si>
  <si>
    <t>99.9–99.999%</t>
  </si>
  <si>
    <t>H₂ recovery</t>
  </si>
  <si>
    <t>75–92%</t>
  </si>
  <si>
    <t>Practical Industrial Target</t>
  </si>
  <si>
    <t>In a typical Haber-Bosch plant at 200 bar with ~15–20% NH₃ in the loop gas:</t>
  </si>
  <si>
    <t>Value</t>
  </si>
  <si>
    <t>Operating pressure</t>
  </si>
  <si>
    <t>200 bar</t>
  </si>
  <si>
    <t>Reactor outlet temp</t>
  </si>
  <si>
    <t>~450°C</t>
  </si>
  <si>
    <t>Target cooling temp</t>
  </si>
  <si>
    <t>~20–50°C</t>
  </si>
  <si>
    <t>Condensation begins around</t>
  </si>
  <si>
    <t>~80–95°C</t>
  </si>
  <si>
    <t>Ammonia separator temp</t>
  </si>
  <si>
    <t>25–35°C for good separation</t>
  </si>
  <si>
    <t>Recommendation</t>
  </si>
  <si>
    <t>Cool the gas down to 25–40°C at 200 bar for effective liquid ammonia separation in the separator vessel.</t>
  </si>
  <si>
    <t>Simply reaching the dew point (~90°C) isn't enough — you want to cool well below it to maximize liquid ammonia dropout and separation efficiency.</t>
  </si>
  <si>
    <t>After separation, liquid ammonia is typically let down to a lower pressure (e.g., 15–20 bar) for storage.</t>
  </si>
  <si>
    <t>The Logic</t>
  </si>
  <si>
    <t>At 200 bar, you want:</t>
  </si>
  <si>
    <t>2941.18 kmol/day NH₃ to liquefy → liquid bottom</t>
  </si>
  <si>
    <t>154.80 kmol/day NH₃ to stay as vapor → gas top with N₂/H₂</t>
  </si>
  <si>
    <t>Total NH₃ = 3095.98 kmol/day</t>
  </si>
  <si>
    <t>So the vapor fraction of NH₃ you want is:</t>
  </si>
  <si>
    <t>154.80 / 3095.98 = 0.05 = 5%</t>
  </si>
  <si>
    <t>Using Antoine Equation for NH₃</t>
  </si>
  <si>
    <t>The NH₃ that stays as vapor in the gas mixture does so because its partial pressure equals its vapor pressure at that temperature.</t>
  </si>
  <si>
    <t>Step 1 — Find NH₃ partial pressure in gas phase</t>
  </si>
  <si>
    <t>Total gas flow at separator top = 23,684.21 kmol/day</t>
  </si>
  <si>
    <t>NH₃ mole fraction in gas phase:</t>
  </si>
  <si>
    <t>y_NH₃ = 154.80 / 23684.21 = 0.00653</t>
  </si>
  <si>
    <t>Partial pressure of NH₃:</t>
  </si>
  <si>
    <t>P_NH₃ = y_NH₃ × P_total = 0.00653 × 200 = 1.307 bar</t>
  </si>
  <si>
    <t>Step 2 — Find temperature where NH₃ vapor pressure = 1.307 bar</t>
  </si>
  <si>
    <t>Using Antoine equation for NH₃:</t>
  </si>
  <si>
    <t>log₁₀(P) = A − B/(C+T) A = 6.8929, B = 926.13, C = 240.17 (P in mmHg, T in °C)</t>
  </si>
  <si>
    <t>Converting 1.307 bar → 980.3 mmHg</t>
  </si>
  <si>
    <t>log₁₀(980.3) = 6.8929 − 926.13/(240.17 + T) 2.9913 = 6.8929 − 926.13/(240.17 + T) 926.13/(240.17 + T) = 3.9016 240.17 + T = 237.37 T = −2.8°C ≈ −3°C</t>
  </si>
  <si>
    <t>Answer</t>
  </si>
  <si>
    <t>Required separator temperature</t>
  </si>
  <si>
    <t>≈ −3°C</t>
  </si>
  <si>
    <t>Pressure</t>
  </si>
  <si>
    <t>NH₃ liquefied (bottom)</t>
  </si>
  <si>
    <t>2941.18 kmol/day</t>
  </si>
  <si>
    <t>NH₃ vapor (top, with N₂/H₂)</t>
  </si>
  <si>
    <t>154.80 kmol/day</t>
  </si>
  <si>
    <t>What This Means for Your Condenser</t>
  </si>
  <si>
    <t>You need to cool the reactor outlet from 450°C down to −3°C at 200 bar.</t>
  </si>
  <si>
    <t>Unit</t>
  </si>
  <si>
    <t>Inlet</t>
  </si>
  <si>
    <t>Outlet</t>
  </si>
  <si>
    <t>Condenser</t>
  </si>
  <si>
    <t>450°C, 200 bar</t>
  </si>
  <si>
    <t>−3°C, 200 bar</t>
  </si>
  <si>
    <t>Two streams as above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</si>
</sst>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4.0"/>
      <color theme="1"/>
      <name val="Arial"/>
      <scheme val="minor"/>
    </font>
    <font>
      <b/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0"/>
    </xf>
    <xf borderId="0" fillId="0" fontId="3" numFmtId="0" xfId="0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7.0"/>
    <col customWidth="1" min="10" max="10" width="45.75"/>
    <col customWidth="1" min="11" max="11" width="30.88"/>
    <col customWidth="1" min="12" max="12" width="22.38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2" t="s">
        <v>6</v>
      </c>
      <c r="H2" s="1"/>
    </row>
    <row r="3">
      <c r="A3" s="2">
        <v>1.0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2" t="s">
        <v>12</v>
      </c>
      <c r="H3" s="2" t="s">
        <v>13</v>
      </c>
    </row>
    <row r="4">
      <c r="A4" s="1">
        <f t="shared" ref="A4:A24" si="1">A3+1</f>
        <v>2</v>
      </c>
      <c r="B4" s="3" t="s">
        <v>7</v>
      </c>
      <c r="C4" s="3" t="s">
        <v>14</v>
      </c>
      <c r="D4" s="3" t="s">
        <v>15</v>
      </c>
      <c r="E4" s="3" t="s">
        <v>16</v>
      </c>
      <c r="F4" s="3" t="s">
        <v>17</v>
      </c>
      <c r="G4" s="2" t="s">
        <v>18</v>
      </c>
      <c r="H4" s="2" t="s">
        <v>19</v>
      </c>
    </row>
    <row r="5">
      <c r="A5" s="1">
        <f t="shared" si="1"/>
        <v>3</v>
      </c>
      <c r="B5" s="3" t="s">
        <v>7</v>
      </c>
      <c r="C5" s="3" t="s">
        <v>20</v>
      </c>
      <c r="D5" s="3" t="s">
        <v>21</v>
      </c>
      <c r="E5" s="3" t="s">
        <v>22</v>
      </c>
      <c r="F5" s="3" t="s">
        <v>23</v>
      </c>
      <c r="G5" s="2" t="s">
        <v>24</v>
      </c>
      <c r="H5" s="2" t="s">
        <v>25</v>
      </c>
    </row>
    <row r="6">
      <c r="A6" s="1">
        <f t="shared" si="1"/>
        <v>4</v>
      </c>
      <c r="B6" s="3" t="s">
        <v>7</v>
      </c>
      <c r="C6" s="3" t="s">
        <v>26</v>
      </c>
      <c r="D6" s="3" t="s">
        <v>27</v>
      </c>
      <c r="E6" s="3" t="s">
        <v>28</v>
      </c>
      <c r="F6" s="3" t="s">
        <v>27</v>
      </c>
      <c r="G6" s="2" t="s">
        <v>29</v>
      </c>
      <c r="H6" s="2" t="s">
        <v>30</v>
      </c>
    </row>
    <row r="7">
      <c r="A7" s="1">
        <f t="shared" si="1"/>
        <v>5</v>
      </c>
      <c r="B7" s="3" t="s">
        <v>7</v>
      </c>
      <c r="C7" s="3" t="s">
        <v>31</v>
      </c>
      <c r="D7" s="3" t="s">
        <v>32</v>
      </c>
      <c r="E7" s="3" t="s">
        <v>33</v>
      </c>
      <c r="F7" s="3" t="s">
        <v>34</v>
      </c>
      <c r="G7" s="2" t="s">
        <v>35</v>
      </c>
      <c r="H7" s="2" t="s">
        <v>36</v>
      </c>
    </row>
    <row r="8">
      <c r="A8" s="1">
        <f t="shared" si="1"/>
        <v>6</v>
      </c>
      <c r="B8" s="2" t="s">
        <v>7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  <c r="H8" s="2" t="s">
        <v>42</v>
      </c>
    </row>
    <row r="9">
      <c r="A9" s="1">
        <f t="shared" si="1"/>
        <v>7</v>
      </c>
      <c r="B9" s="2" t="s">
        <v>7</v>
      </c>
      <c r="C9" s="2" t="s">
        <v>43</v>
      </c>
      <c r="D9" s="2" t="s">
        <v>44</v>
      </c>
      <c r="E9" s="2" t="s">
        <v>45</v>
      </c>
      <c r="F9" s="2" t="s">
        <v>46</v>
      </c>
      <c r="G9" s="1"/>
      <c r="H9" s="1"/>
    </row>
    <row r="10">
      <c r="A10" s="1">
        <f t="shared" si="1"/>
        <v>8</v>
      </c>
      <c r="B10" s="3" t="s">
        <v>7</v>
      </c>
      <c r="C10" s="3" t="s">
        <v>47</v>
      </c>
      <c r="D10" s="3" t="s">
        <v>48</v>
      </c>
      <c r="E10" s="3" t="s">
        <v>49</v>
      </c>
      <c r="F10" s="3"/>
    </row>
    <row r="11">
      <c r="A11" s="1">
        <f t="shared" si="1"/>
        <v>9</v>
      </c>
      <c r="B11" s="3" t="s">
        <v>7</v>
      </c>
      <c r="C11" s="3" t="s">
        <v>25</v>
      </c>
      <c r="D11" s="3" t="s">
        <v>50</v>
      </c>
      <c r="E11" s="3" t="s">
        <v>51</v>
      </c>
      <c r="F11" s="3" t="s">
        <v>52</v>
      </c>
    </row>
    <row r="12">
      <c r="A12" s="1">
        <f t="shared" si="1"/>
        <v>10</v>
      </c>
      <c r="B12" s="3" t="s">
        <v>53</v>
      </c>
      <c r="C12" s="3" t="s">
        <v>54</v>
      </c>
      <c r="D12" s="3" t="s">
        <v>55</v>
      </c>
      <c r="E12" s="3" t="s">
        <v>56</v>
      </c>
      <c r="F12" s="3" t="s">
        <v>11</v>
      </c>
    </row>
    <row r="13">
      <c r="A13" s="1">
        <f t="shared" si="1"/>
        <v>11</v>
      </c>
      <c r="B13" s="2" t="s">
        <v>53</v>
      </c>
      <c r="C13" s="2" t="s">
        <v>57</v>
      </c>
      <c r="D13" s="2" t="s">
        <v>58</v>
      </c>
      <c r="E13" s="2" t="s">
        <v>59</v>
      </c>
      <c r="F13" s="2" t="s">
        <v>60</v>
      </c>
      <c r="G13" s="1"/>
      <c r="H13" s="1"/>
    </row>
    <row r="14">
      <c r="A14" s="1">
        <f t="shared" si="1"/>
        <v>12</v>
      </c>
      <c r="B14" s="2" t="s">
        <v>53</v>
      </c>
      <c r="C14" s="2" t="s">
        <v>61</v>
      </c>
      <c r="D14" s="2" t="s">
        <v>62</v>
      </c>
      <c r="E14" s="2" t="s">
        <v>63</v>
      </c>
      <c r="F14" s="2" t="s">
        <v>64</v>
      </c>
      <c r="G14" s="1"/>
      <c r="H14" s="1"/>
    </row>
    <row r="15">
      <c r="A15" s="1">
        <f t="shared" si="1"/>
        <v>13</v>
      </c>
      <c r="B15" s="2" t="s">
        <v>53</v>
      </c>
      <c r="C15" s="2" t="s">
        <v>65</v>
      </c>
      <c r="D15" s="2" t="s">
        <v>66</v>
      </c>
      <c r="E15" s="2" t="s">
        <v>67</v>
      </c>
      <c r="F15" s="2" t="s">
        <v>68</v>
      </c>
      <c r="G15" s="1"/>
      <c r="H15" s="1"/>
    </row>
    <row r="16">
      <c r="A16" s="1">
        <f t="shared" si="1"/>
        <v>14</v>
      </c>
      <c r="B16" s="2" t="s">
        <v>53</v>
      </c>
      <c r="C16" s="2" t="s">
        <v>69</v>
      </c>
      <c r="D16" s="2" t="s">
        <v>70</v>
      </c>
      <c r="E16" s="2" t="s">
        <v>71</v>
      </c>
      <c r="F16" s="1"/>
      <c r="G16" s="1"/>
      <c r="H16" s="1"/>
    </row>
    <row r="17">
      <c r="A17" s="1">
        <f t="shared" si="1"/>
        <v>15</v>
      </c>
      <c r="B17" s="2" t="s">
        <v>53</v>
      </c>
      <c r="C17" s="2" t="s">
        <v>72</v>
      </c>
      <c r="D17" s="2" t="s">
        <v>73</v>
      </c>
      <c r="E17" s="2" t="s">
        <v>74</v>
      </c>
      <c r="F17" s="2" t="s">
        <v>75</v>
      </c>
      <c r="G17" s="1"/>
      <c r="H17" s="1"/>
      <c r="J17" s="4" t="s">
        <v>76</v>
      </c>
      <c r="K17" s="5"/>
      <c r="L17" s="5"/>
      <c r="M17" s="5"/>
      <c r="N17" s="5"/>
    </row>
    <row r="18">
      <c r="A18" s="1">
        <f t="shared" si="1"/>
        <v>16</v>
      </c>
      <c r="B18" s="2" t="s">
        <v>77</v>
      </c>
      <c r="C18" s="2" t="s">
        <v>78</v>
      </c>
      <c r="D18" s="2" t="s">
        <v>79</v>
      </c>
      <c r="E18" s="2" t="s">
        <v>80</v>
      </c>
      <c r="F18" s="2" t="s">
        <v>81</v>
      </c>
      <c r="G18" s="1"/>
      <c r="H18" s="1"/>
      <c r="J18" s="6"/>
      <c r="K18" s="5"/>
      <c r="L18" s="5"/>
      <c r="M18" s="5"/>
      <c r="N18" s="5"/>
    </row>
    <row r="19">
      <c r="A19" s="1">
        <f t="shared" si="1"/>
        <v>17</v>
      </c>
      <c r="B19" s="2" t="s">
        <v>77</v>
      </c>
      <c r="C19" s="2" t="s">
        <v>82</v>
      </c>
      <c r="D19" s="2" t="s">
        <v>83</v>
      </c>
      <c r="E19" s="2" t="s">
        <v>84</v>
      </c>
      <c r="F19" s="2" t="s">
        <v>81</v>
      </c>
      <c r="G19" s="1"/>
      <c r="H19" s="1"/>
      <c r="J19" s="4" t="s">
        <v>85</v>
      </c>
      <c r="K19" s="5"/>
      <c r="L19" s="5"/>
      <c r="M19" s="5"/>
      <c r="N19" s="5"/>
      <c r="P19" s="7" t="s">
        <v>86</v>
      </c>
    </row>
    <row r="20">
      <c r="A20" s="1">
        <f t="shared" si="1"/>
        <v>18</v>
      </c>
      <c r="B20" s="2" t="s">
        <v>77</v>
      </c>
      <c r="C20" s="2" t="s">
        <v>87</v>
      </c>
      <c r="D20" s="2" t="s">
        <v>88</v>
      </c>
      <c r="E20" s="2" t="s">
        <v>89</v>
      </c>
      <c r="F20" s="2" t="s">
        <v>81</v>
      </c>
      <c r="G20" s="1"/>
      <c r="H20" s="1"/>
      <c r="J20" s="8" t="s">
        <v>90</v>
      </c>
      <c r="K20" s="8" t="s">
        <v>91</v>
      </c>
      <c r="L20" s="8" t="s">
        <v>92</v>
      </c>
      <c r="M20" s="5"/>
      <c r="N20" s="5"/>
      <c r="P20" s="7" t="s">
        <v>93</v>
      </c>
    </row>
    <row r="21">
      <c r="A21" s="1">
        <f t="shared" si="1"/>
        <v>19</v>
      </c>
      <c r="B21" s="2" t="s">
        <v>77</v>
      </c>
      <c r="C21" s="2" t="s">
        <v>94</v>
      </c>
      <c r="D21" s="2" t="s">
        <v>95</v>
      </c>
      <c r="E21" s="2" t="s">
        <v>96</v>
      </c>
      <c r="F21" s="2" t="s">
        <v>97</v>
      </c>
      <c r="G21" s="1"/>
      <c r="H21" s="1"/>
      <c r="J21" s="4" t="s">
        <v>98</v>
      </c>
      <c r="K21" s="4" t="s">
        <v>99</v>
      </c>
      <c r="L21" s="4" t="s">
        <v>100</v>
      </c>
      <c r="M21" s="5"/>
      <c r="N21" s="5"/>
      <c r="P21" s="9"/>
    </row>
    <row r="22">
      <c r="A22" s="1">
        <f t="shared" si="1"/>
        <v>20</v>
      </c>
      <c r="B22" s="2" t="s">
        <v>77</v>
      </c>
      <c r="C22" s="2" t="s">
        <v>101</v>
      </c>
      <c r="D22" s="2" t="s">
        <v>102</v>
      </c>
      <c r="E22" s="2" t="s">
        <v>103</v>
      </c>
      <c r="F22" s="2" t="s">
        <v>97</v>
      </c>
      <c r="G22" s="1"/>
      <c r="H22" s="1"/>
      <c r="J22" s="4" t="s">
        <v>104</v>
      </c>
      <c r="K22" s="4" t="s">
        <v>105</v>
      </c>
      <c r="L22" s="4" t="s">
        <v>106</v>
      </c>
      <c r="M22" s="5"/>
      <c r="N22" s="5"/>
      <c r="P22" s="10" t="s">
        <v>107</v>
      </c>
      <c r="Q22" s="10" t="s">
        <v>108</v>
      </c>
      <c r="R22" s="10" t="s">
        <v>109</v>
      </c>
    </row>
    <row r="23">
      <c r="A23" s="1">
        <f t="shared" si="1"/>
        <v>21</v>
      </c>
      <c r="B23" s="2" t="s">
        <v>77</v>
      </c>
      <c r="C23" s="2" t="s">
        <v>110</v>
      </c>
      <c r="D23" s="2" t="s">
        <v>111</v>
      </c>
      <c r="E23" s="2" t="s">
        <v>112</v>
      </c>
      <c r="F23" s="2" t="s">
        <v>97</v>
      </c>
      <c r="G23" s="1"/>
      <c r="H23" s="1"/>
      <c r="J23" s="4" t="s">
        <v>113</v>
      </c>
      <c r="K23" s="4" t="s">
        <v>114</v>
      </c>
      <c r="L23" s="4" t="s">
        <v>115</v>
      </c>
      <c r="M23" s="5"/>
      <c r="N23" s="5"/>
      <c r="P23" s="7" t="s">
        <v>116</v>
      </c>
      <c r="Q23" s="7" t="s">
        <v>117</v>
      </c>
      <c r="R23" s="7" t="s">
        <v>118</v>
      </c>
    </row>
    <row r="24">
      <c r="A24" s="1">
        <f t="shared" si="1"/>
        <v>22</v>
      </c>
      <c r="B24" s="2" t="s">
        <v>77</v>
      </c>
      <c r="C24" s="2" t="s">
        <v>119</v>
      </c>
      <c r="D24" s="2" t="s">
        <v>120</v>
      </c>
      <c r="E24" s="2" t="s">
        <v>121</v>
      </c>
      <c r="F24" s="2" t="s">
        <v>97</v>
      </c>
      <c r="G24" s="1"/>
      <c r="H24" s="1"/>
      <c r="J24" s="4" t="s">
        <v>122</v>
      </c>
      <c r="K24" s="4" t="s">
        <v>123</v>
      </c>
      <c r="L24" s="4" t="s">
        <v>124</v>
      </c>
      <c r="M24" s="5"/>
      <c r="N24" s="5"/>
      <c r="P24" s="7" t="s">
        <v>125</v>
      </c>
      <c r="Q24" s="7" t="s">
        <v>126</v>
      </c>
      <c r="R24" s="7" t="s">
        <v>127</v>
      </c>
    </row>
    <row r="25">
      <c r="A25" s="2">
        <v>23.0</v>
      </c>
      <c r="B25" s="2" t="s">
        <v>128</v>
      </c>
      <c r="C25" s="2" t="s">
        <v>128</v>
      </c>
      <c r="D25" s="2" t="s">
        <v>129</v>
      </c>
      <c r="E25" s="2" t="s">
        <v>130</v>
      </c>
      <c r="F25" s="2" t="s">
        <v>131</v>
      </c>
      <c r="G25" s="1"/>
      <c r="H25" s="1"/>
      <c r="P25" s="7" t="s">
        <v>132</v>
      </c>
      <c r="Q25" s="7" t="s">
        <v>133</v>
      </c>
      <c r="R25" s="7" t="s">
        <v>134</v>
      </c>
    </row>
    <row r="26">
      <c r="A26" s="2">
        <v>24.0</v>
      </c>
      <c r="B26" s="2" t="s">
        <v>128</v>
      </c>
      <c r="C26" s="2" t="s">
        <v>128</v>
      </c>
      <c r="D26" s="2" t="s">
        <v>135</v>
      </c>
      <c r="E26" s="2" t="s">
        <v>136</v>
      </c>
      <c r="F26" s="2" t="s">
        <v>137</v>
      </c>
      <c r="G26" s="1"/>
      <c r="H26" s="1"/>
      <c r="J26" s="7" t="s">
        <v>138</v>
      </c>
      <c r="P26" s="7" t="s">
        <v>139</v>
      </c>
    </row>
    <row r="27">
      <c r="A27" s="1"/>
      <c r="B27" s="1"/>
      <c r="C27" s="1"/>
      <c r="D27" s="1"/>
      <c r="E27" s="1"/>
      <c r="F27" s="1"/>
      <c r="G27" s="1"/>
      <c r="H27" s="1"/>
      <c r="J27" s="10" t="s">
        <v>140</v>
      </c>
      <c r="K27" s="10" t="s">
        <v>141</v>
      </c>
      <c r="P27" s="7" t="s">
        <v>142</v>
      </c>
    </row>
    <row r="28">
      <c r="A28" s="1"/>
      <c r="B28" s="1"/>
      <c r="C28" s="1"/>
      <c r="D28" s="1"/>
      <c r="E28" s="1"/>
      <c r="F28" s="1"/>
      <c r="G28" s="1"/>
      <c r="H28" s="1"/>
      <c r="J28" s="7" t="s">
        <v>143</v>
      </c>
      <c r="K28" s="7" t="s">
        <v>144</v>
      </c>
      <c r="P28" s="7" t="s">
        <v>145</v>
      </c>
    </row>
    <row r="29">
      <c r="A29" s="1"/>
      <c r="B29" s="1"/>
      <c r="C29" s="1"/>
      <c r="D29" s="1"/>
      <c r="E29" s="1"/>
      <c r="F29" s="1"/>
      <c r="G29" s="1"/>
      <c r="H29" s="1"/>
      <c r="J29" s="7" t="s">
        <v>146</v>
      </c>
      <c r="K29" s="7" t="s">
        <v>147</v>
      </c>
      <c r="P29" s="7" t="s">
        <v>148</v>
      </c>
    </row>
    <row r="30">
      <c r="A30" s="1"/>
      <c r="B30" s="1"/>
      <c r="C30" s="1"/>
      <c r="D30" s="1"/>
      <c r="E30" s="1"/>
      <c r="F30" s="1"/>
      <c r="G30" s="1"/>
      <c r="H30" s="1"/>
      <c r="J30" s="7" t="s">
        <v>149</v>
      </c>
      <c r="K30" s="7" t="s">
        <v>150</v>
      </c>
    </row>
    <row r="31">
      <c r="A31" s="1"/>
      <c r="B31" s="1"/>
      <c r="C31" s="1"/>
      <c r="D31" s="1"/>
      <c r="E31" s="1"/>
      <c r="F31" s="1"/>
      <c r="G31" s="1"/>
      <c r="H31" s="1"/>
      <c r="J31" s="7" t="s">
        <v>151</v>
      </c>
      <c r="K31" s="7" t="s">
        <v>152</v>
      </c>
    </row>
    <row r="32">
      <c r="A32" s="1"/>
      <c r="B32" s="1"/>
      <c r="C32" s="1"/>
      <c r="D32" s="1"/>
      <c r="E32" s="1"/>
      <c r="F32" s="1"/>
      <c r="G32" s="1"/>
      <c r="H32" s="1"/>
      <c r="J32" s="7" t="s">
        <v>153</v>
      </c>
      <c r="K32" s="7" t="s">
        <v>154</v>
      </c>
    </row>
    <row r="33">
      <c r="A33" s="1"/>
      <c r="B33" s="1"/>
      <c r="C33" s="1"/>
      <c r="D33" s="1"/>
      <c r="E33" s="1"/>
      <c r="F33" s="1"/>
      <c r="G33" s="1"/>
      <c r="H33" s="1"/>
      <c r="J33" s="7" t="s">
        <v>155</v>
      </c>
      <c r="K33" s="7" t="s">
        <v>156</v>
      </c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  <row r="36">
      <c r="A36" s="1"/>
      <c r="B36" s="1"/>
      <c r="C36" s="1"/>
      <c r="D36" s="1"/>
      <c r="E36" s="1"/>
      <c r="F36" s="1"/>
      <c r="G36" s="1"/>
      <c r="H36" s="1"/>
      <c r="J36" s="7" t="s">
        <v>157</v>
      </c>
    </row>
    <row r="37">
      <c r="A37" s="1"/>
      <c r="B37" s="1"/>
      <c r="C37" s="1"/>
      <c r="D37" s="1"/>
      <c r="E37" s="1"/>
      <c r="F37" s="1"/>
      <c r="G37" s="1"/>
      <c r="H37" s="1"/>
      <c r="J37" s="9"/>
    </row>
    <row r="38">
      <c r="A38" s="1"/>
      <c r="B38" s="1"/>
      <c r="C38" s="1"/>
      <c r="D38" s="1"/>
      <c r="E38" s="1"/>
      <c r="F38" s="1"/>
      <c r="G38" s="1"/>
      <c r="H38" s="1"/>
      <c r="J38" s="7" t="s">
        <v>158</v>
      </c>
    </row>
    <row r="39">
      <c r="A39" s="1"/>
      <c r="B39" s="1"/>
      <c r="C39" s="1"/>
      <c r="D39" s="1"/>
      <c r="E39" s="1"/>
      <c r="F39" s="1"/>
      <c r="G39" s="1"/>
      <c r="H39" s="1"/>
      <c r="J39" s="9"/>
    </row>
    <row r="40">
      <c r="A40" s="1"/>
      <c r="B40" s="1"/>
      <c r="C40" s="1"/>
      <c r="D40" s="1"/>
      <c r="E40" s="1"/>
      <c r="F40" s="1"/>
      <c r="G40" s="1"/>
      <c r="H40" s="1"/>
      <c r="J40" s="10" t="s">
        <v>140</v>
      </c>
      <c r="K40" s="10" t="s">
        <v>159</v>
      </c>
    </row>
    <row r="41">
      <c r="A41" s="1"/>
      <c r="B41" s="1"/>
      <c r="C41" s="1"/>
      <c r="D41" s="1"/>
      <c r="E41" s="1"/>
      <c r="F41" s="1"/>
      <c r="G41" s="1"/>
      <c r="H41" s="1"/>
      <c r="J41" s="7" t="s">
        <v>160</v>
      </c>
      <c r="K41" s="7" t="s">
        <v>161</v>
      </c>
    </row>
    <row r="42">
      <c r="A42" s="1"/>
      <c r="B42" s="1"/>
      <c r="C42" s="1"/>
      <c r="D42" s="1"/>
      <c r="E42" s="1"/>
      <c r="F42" s="1"/>
      <c r="G42" s="1"/>
      <c r="H42" s="1"/>
      <c r="J42" s="7" t="s">
        <v>162</v>
      </c>
      <c r="K42" s="7" t="s">
        <v>163</v>
      </c>
    </row>
    <row r="43">
      <c r="A43" s="1"/>
      <c r="B43" s="1"/>
      <c r="C43" s="1"/>
      <c r="D43" s="1"/>
      <c r="E43" s="1"/>
      <c r="F43" s="1"/>
      <c r="G43" s="1"/>
      <c r="J43" s="7" t="s">
        <v>164</v>
      </c>
      <c r="K43" s="7" t="s">
        <v>165</v>
      </c>
    </row>
    <row r="44">
      <c r="A44" s="1"/>
      <c r="B44" s="1"/>
      <c r="C44" s="1"/>
      <c r="D44" s="1"/>
      <c r="E44" s="1"/>
      <c r="F44" s="1"/>
      <c r="G44" s="1"/>
      <c r="J44" s="7" t="s">
        <v>166</v>
      </c>
      <c r="K44" s="7" t="s">
        <v>167</v>
      </c>
    </row>
    <row r="45">
      <c r="A45" s="1"/>
      <c r="B45" s="1"/>
      <c r="C45" s="1"/>
      <c r="D45" s="1"/>
      <c r="E45" s="1"/>
      <c r="F45" s="1"/>
      <c r="G45" s="1"/>
      <c r="J45" s="7" t="s">
        <v>168</v>
      </c>
      <c r="K45" s="7" t="s">
        <v>169</v>
      </c>
    </row>
    <row r="46">
      <c r="A46" s="1"/>
      <c r="B46" s="1"/>
      <c r="C46" s="1"/>
      <c r="D46" s="1"/>
      <c r="E46" s="1"/>
      <c r="F46" s="1"/>
      <c r="G46" s="1"/>
      <c r="J46" s="7" t="s">
        <v>170</v>
      </c>
    </row>
    <row r="47">
      <c r="A47" s="1"/>
      <c r="B47" s="1"/>
      <c r="C47" s="1"/>
      <c r="D47" s="1"/>
      <c r="E47" s="1"/>
      <c r="F47" s="1"/>
      <c r="G47" s="1"/>
      <c r="J47" s="7" t="s">
        <v>171</v>
      </c>
    </row>
    <row r="48">
      <c r="A48" s="1"/>
      <c r="B48" s="1"/>
      <c r="C48" s="1"/>
      <c r="D48" s="1"/>
      <c r="E48" s="1"/>
      <c r="F48" s="1"/>
      <c r="G48" s="1"/>
      <c r="J48" s="7" t="s">
        <v>172</v>
      </c>
    </row>
    <row r="49">
      <c r="A49" s="1"/>
      <c r="B49" s="1"/>
      <c r="C49" s="1"/>
      <c r="D49" s="1"/>
      <c r="E49" s="1"/>
      <c r="F49" s="1"/>
      <c r="G49" s="1"/>
      <c r="J49" s="7" t="s">
        <v>173</v>
      </c>
    </row>
    <row r="50">
      <c r="A50" s="1"/>
      <c r="B50" s="1"/>
      <c r="C50" s="1"/>
      <c r="D50" s="1"/>
      <c r="E50" s="1"/>
      <c r="F50" s="1"/>
      <c r="G50" s="1"/>
    </row>
    <row r="51">
      <c r="A51" s="1"/>
      <c r="B51" s="1"/>
      <c r="C51" s="1"/>
      <c r="D51" s="1"/>
      <c r="E51" s="1"/>
      <c r="F51" s="1"/>
      <c r="G51" s="1"/>
    </row>
    <row r="52">
      <c r="A52" s="1"/>
      <c r="B52" s="1"/>
      <c r="C52" s="1"/>
      <c r="D52" s="1"/>
      <c r="E52" s="1"/>
      <c r="F52" s="1"/>
      <c r="G52" s="1"/>
    </row>
    <row r="53">
      <c r="A53" s="1"/>
      <c r="B53" s="1"/>
      <c r="C53" s="1"/>
      <c r="D53" s="1"/>
      <c r="E53" s="1"/>
      <c r="F53" s="1"/>
      <c r="G53" s="1"/>
      <c r="J53" s="11" t="s">
        <v>174</v>
      </c>
    </row>
    <row r="54">
      <c r="A54" s="1"/>
      <c r="B54" s="1"/>
      <c r="C54" s="1"/>
      <c r="D54" s="1"/>
      <c r="E54" s="1"/>
      <c r="F54" s="1"/>
      <c r="G54" s="1"/>
      <c r="J54" s="12"/>
    </row>
    <row r="55">
      <c r="J55" s="11" t="s">
        <v>175</v>
      </c>
    </row>
    <row r="56">
      <c r="J56" s="12"/>
    </row>
    <row r="57">
      <c r="J57" s="11" t="s">
        <v>176</v>
      </c>
    </row>
    <row r="58">
      <c r="J58" s="11" t="s">
        <v>177</v>
      </c>
    </row>
    <row r="59">
      <c r="J59" s="12"/>
    </row>
    <row r="60">
      <c r="J60" s="11" t="s">
        <v>178</v>
      </c>
    </row>
    <row r="61">
      <c r="J61" s="12"/>
    </row>
    <row r="62">
      <c r="J62" s="11" t="s">
        <v>179</v>
      </c>
    </row>
    <row r="63">
      <c r="J63" s="12"/>
    </row>
    <row r="64">
      <c r="J64" s="11" t="s">
        <v>180</v>
      </c>
    </row>
    <row r="65">
      <c r="J65" s="11" t="s">
        <v>181</v>
      </c>
    </row>
    <row r="66">
      <c r="J66" s="12"/>
    </row>
    <row r="67">
      <c r="J67" s="11" t="s">
        <v>182</v>
      </c>
    </row>
    <row r="68">
      <c r="J68" s="9"/>
    </row>
    <row r="69">
      <c r="J69" s="7" t="s">
        <v>183</v>
      </c>
    </row>
    <row r="70">
      <c r="J70" s="9"/>
    </row>
    <row r="71">
      <c r="J71" s="7" t="s">
        <v>184</v>
      </c>
    </row>
    <row r="72">
      <c r="J72" s="9"/>
    </row>
    <row r="73">
      <c r="J73" s="7" t="s">
        <v>185</v>
      </c>
    </row>
    <row r="74">
      <c r="J74" s="9"/>
    </row>
    <row r="75">
      <c r="J75" s="7" t="s">
        <v>186</v>
      </c>
    </row>
    <row r="76">
      <c r="J76" s="9"/>
    </row>
    <row r="77">
      <c r="J77" s="7" t="s">
        <v>187</v>
      </c>
    </row>
    <row r="78">
      <c r="J78" s="9"/>
    </row>
    <row r="79">
      <c r="J79" s="7" t="s">
        <v>188</v>
      </c>
    </row>
    <row r="80">
      <c r="J80" s="7" t="s">
        <v>189</v>
      </c>
    </row>
    <row r="81">
      <c r="J81" s="9"/>
    </row>
    <row r="82">
      <c r="J82" s="7" t="s">
        <v>190</v>
      </c>
    </row>
    <row r="83">
      <c r="J83" s="9"/>
    </row>
    <row r="84">
      <c r="J84" s="7" t="s">
        <v>191</v>
      </c>
    </row>
    <row r="85">
      <c r="J85" s="9"/>
    </row>
    <row r="86">
      <c r="J86" s="7" t="s">
        <v>192</v>
      </c>
    </row>
    <row r="87">
      <c r="J87" s="9"/>
    </row>
    <row r="88">
      <c r="J88" s="7" t="s">
        <v>193</v>
      </c>
    </row>
    <row r="89">
      <c r="J89" s="11" t="s">
        <v>194</v>
      </c>
    </row>
    <row r="90">
      <c r="J90" s="13" t="s">
        <v>140</v>
      </c>
      <c r="K90" s="13" t="s">
        <v>159</v>
      </c>
    </row>
    <row r="91">
      <c r="J91" s="11" t="s">
        <v>195</v>
      </c>
      <c r="K91" s="11" t="s">
        <v>196</v>
      </c>
    </row>
    <row r="92">
      <c r="J92" s="11" t="s">
        <v>197</v>
      </c>
      <c r="K92" s="11" t="s">
        <v>161</v>
      </c>
    </row>
    <row r="93">
      <c r="J93" s="11" t="s">
        <v>198</v>
      </c>
      <c r="K93" s="11" t="s">
        <v>199</v>
      </c>
    </row>
    <row r="94">
      <c r="J94" s="11" t="s">
        <v>200</v>
      </c>
      <c r="K94" s="11" t="s">
        <v>201</v>
      </c>
    </row>
    <row r="95">
      <c r="J95" s="11" t="s">
        <v>202</v>
      </c>
    </row>
    <row r="96">
      <c r="J96" s="12"/>
    </row>
    <row r="97">
      <c r="J97" s="11" t="s">
        <v>203</v>
      </c>
    </row>
    <row r="98">
      <c r="J98" s="12"/>
    </row>
    <row r="99">
      <c r="J99" s="13" t="s">
        <v>204</v>
      </c>
      <c r="K99" s="13" t="s">
        <v>205</v>
      </c>
      <c r="L99" s="13" t="s">
        <v>206</v>
      </c>
    </row>
    <row r="100">
      <c r="J100" s="11" t="s">
        <v>207</v>
      </c>
      <c r="K100" s="11" t="s">
        <v>208</v>
      </c>
      <c r="L100" s="11" t="s">
        <v>209</v>
      </c>
    </row>
    <row r="101">
      <c r="J101" s="11" t="s">
        <v>42</v>
      </c>
      <c r="K101" s="11" t="s">
        <v>209</v>
      </c>
      <c r="L101" s="11" t="s">
        <v>210</v>
      </c>
    </row>
  </sheetData>
  <drawing r:id="rId1"/>
</worksheet>
</file>