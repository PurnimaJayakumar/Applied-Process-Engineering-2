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B1VJqoQCDH6IRrfPEqLaWirUK5WbQ+NCD7KFH0hKDI="/>
    </ext>
  </extLst>
</workbook>
</file>

<file path=xl/sharedStrings.xml><?xml version="1.0" encoding="utf-8"?>
<sst xmlns="http://schemas.openxmlformats.org/spreadsheetml/2006/main" count="204" uniqueCount="54">
  <si>
    <t>Hydrogen Process</t>
  </si>
  <si>
    <t>Desulfurization</t>
  </si>
  <si>
    <t>Water is added</t>
  </si>
  <si>
    <t>SMR (CH4+H2O=CO+3H2)</t>
  </si>
  <si>
    <t>WGS (CO+H2O=CO2+H2)</t>
  </si>
  <si>
    <t>PSA</t>
  </si>
  <si>
    <t>NG FEED=1118.6 kmol/day</t>
  </si>
  <si>
    <t>In</t>
  </si>
  <si>
    <t>Generated</t>
  </si>
  <si>
    <t>Consumed</t>
  </si>
  <si>
    <t>Out</t>
  </si>
  <si>
    <t>E</t>
  </si>
  <si>
    <t>SPC</t>
  </si>
  <si>
    <t>H2</t>
  </si>
  <si>
    <t>H2O</t>
  </si>
  <si>
    <t>CO</t>
  </si>
  <si>
    <t>CO2</t>
  </si>
  <si>
    <t>CH4</t>
  </si>
  <si>
    <t>ZnS</t>
  </si>
  <si>
    <t>Trace</t>
  </si>
  <si>
    <t>ZnO</t>
  </si>
  <si>
    <t>Sulfur containing compounds</t>
  </si>
  <si>
    <t>Other HCs</t>
  </si>
  <si>
    <t>1.44% of NG</t>
  </si>
  <si>
    <t>-</t>
  </si>
  <si>
    <t>Nitrogen Process</t>
  </si>
  <si>
    <r>
      <rPr>
        <rFont val="Arial"/>
        <b/>
        <color theme="1"/>
        <sz val="13.0"/>
      </rPr>
      <t xml:space="preserve">Condensor </t>
    </r>
    <r>
      <rPr>
        <rFont val="Arial"/>
        <b val="0"/>
        <color theme="1"/>
        <sz val="10.0"/>
      </rPr>
      <t>(Assuming RH=60%, 25 C, 1atm)</t>
    </r>
  </si>
  <si>
    <t>Dust Filtration</t>
  </si>
  <si>
    <t>CO2 Removal</t>
  </si>
  <si>
    <t>Cryogenic Unit</t>
  </si>
  <si>
    <t>air(kmol/day)</t>
  </si>
  <si>
    <t>N2</t>
  </si>
  <si>
    <t>O2</t>
  </si>
  <si>
    <t>Dust</t>
  </si>
  <si>
    <t xml:space="preserve"> x kg/day</t>
  </si>
  <si>
    <t>Ammonia Process</t>
  </si>
  <si>
    <t>Reactor</t>
  </si>
  <si>
    <t>Separator (Product Stream)</t>
  </si>
  <si>
    <t>Separator (Recycle Stream)</t>
  </si>
  <si>
    <t>NH3</t>
  </si>
  <si>
    <t>HABER-BOSCH</t>
  </si>
  <si>
    <t xml:space="preserve">Separator </t>
  </si>
  <si>
    <t>Product Stream</t>
  </si>
  <si>
    <t>Recycle Stream</t>
  </si>
  <si>
    <t>Single Pass Conversion</t>
  </si>
  <si>
    <t>Eff</t>
  </si>
  <si>
    <t>ASU(NITROGEN SYNTHESIS):Linde Process</t>
  </si>
  <si>
    <t>Condensor</t>
  </si>
  <si>
    <t>%</t>
  </si>
  <si>
    <t>Out(kmol/day)</t>
  </si>
  <si>
    <t>ton/day</t>
  </si>
  <si>
    <t>Hydrogen Synthesis</t>
  </si>
  <si>
    <t>SMR</t>
  </si>
  <si>
    <t>WGS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</si>
</sst>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>
      <color theme="1"/>
      <name val="Menlo"/>
    </font>
    <font>
      <b/>
      <sz val="10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1" numFmtId="0" xfId="0" applyFont="1"/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vertical="bottom"/>
    </xf>
    <xf borderId="0" fillId="3" fontId="1" numFmtId="0" xfId="0" applyFont="1"/>
    <xf borderId="0" fillId="5" fontId="1" numFmtId="0" xfId="0" applyAlignment="1" applyFont="1">
      <alignment readingOrder="0" vertical="bottom"/>
    </xf>
    <xf borderId="0" fillId="5" fontId="3" numFmtId="0" xfId="0" applyAlignment="1" applyFont="1">
      <alignment horizontal="right" readingOrder="0"/>
    </xf>
    <xf borderId="0" fillId="6" fontId="2" numFmtId="0" xfId="0" applyAlignment="1" applyFill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7" fontId="2" numFmtId="0" xfId="0" applyAlignment="1" applyFill="1" applyFont="1">
      <alignment horizontal="center" vertical="bottom"/>
    </xf>
    <xf borderId="0" fillId="6" fontId="4" numFmtId="0" xfId="0" applyAlignment="1" applyFont="1">
      <alignment horizontal="center" vertical="bottom"/>
    </xf>
    <xf borderId="0" fillId="6" fontId="5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8" fontId="1" numFmtId="0" xfId="0" applyAlignment="1" applyFill="1" applyFont="1">
      <alignment horizontal="right" vertical="bottom"/>
    </xf>
    <xf borderId="0" fillId="7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0"/>
    <col customWidth="1" min="2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3" t="s">
        <v>1</v>
      </c>
      <c r="F2" s="2" t="s">
        <v>2</v>
      </c>
      <c r="G2" s="3" t="s">
        <v>3</v>
      </c>
      <c r="K2" s="2"/>
      <c r="L2" s="3" t="s">
        <v>4</v>
      </c>
      <c r="P2" s="2"/>
      <c r="Q2" s="3" t="s">
        <v>5</v>
      </c>
      <c r="U2" s="2"/>
    </row>
    <row r="3" ht="15.75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12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12</v>
      </c>
      <c r="Q3" s="2" t="s">
        <v>7</v>
      </c>
      <c r="R3" s="2" t="s">
        <v>8</v>
      </c>
      <c r="S3" s="2" t="s">
        <v>9</v>
      </c>
      <c r="T3" s="2" t="s">
        <v>10</v>
      </c>
      <c r="U3" s="2" t="s">
        <v>11</v>
      </c>
    </row>
    <row r="4" ht="15.75" customHeight="1">
      <c r="A4" s="2" t="s">
        <v>13</v>
      </c>
      <c r="B4" s="4">
        <v>0.0</v>
      </c>
      <c r="C4" s="5">
        <v>0.0</v>
      </c>
      <c r="D4" s="5">
        <v>0.0</v>
      </c>
      <c r="E4" s="2">
        <f>B4</f>
        <v>0</v>
      </c>
      <c r="F4" s="6">
        <v>1.0</v>
      </c>
      <c r="G4" s="2">
        <f>E4</f>
        <v>0</v>
      </c>
      <c r="H4" s="2">
        <f>I4+J4-G4</f>
        <v>3308.82345</v>
      </c>
      <c r="I4" s="2">
        <v>0.0</v>
      </c>
      <c r="J4" s="2">
        <f t="shared" ref="J4:J7" si="1">L4</f>
        <v>3308.82345</v>
      </c>
      <c r="K4" s="4">
        <v>1.0</v>
      </c>
      <c r="L4" s="7">
        <f>3/4*O4</f>
        <v>3308.82345</v>
      </c>
      <c r="M4" s="2">
        <f>O4+N4-L4</f>
        <v>1102.94115</v>
      </c>
      <c r="N4" s="2">
        <v>0.0</v>
      </c>
      <c r="O4" s="2">
        <f>Q4</f>
        <v>4411.7646</v>
      </c>
      <c r="P4" s="4">
        <v>1.0</v>
      </c>
      <c r="Q4" s="2">
        <f>T4</f>
        <v>4411.7646</v>
      </c>
      <c r="R4" s="2">
        <v>0.0</v>
      </c>
      <c r="S4" s="2">
        <v>0.0</v>
      </c>
      <c r="T4" s="8">
        <f>B26-O26</f>
        <v>4411.7646</v>
      </c>
      <c r="U4" s="4">
        <v>1.0</v>
      </c>
      <c r="V4" s="2" t="s">
        <v>13</v>
      </c>
    </row>
    <row r="5" ht="15.75" customHeight="1">
      <c r="A5" s="2" t="s">
        <v>14</v>
      </c>
      <c r="B5" s="2">
        <v>0.0</v>
      </c>
      <c r="C5" s="5">
        <v>0.0</v>
      </c>
      <c r="D5" s="5">
        <v>0.0</v>
      </c>
      <c r="E5" s="2">
        <v>0.0</v>
      </c>
      <c r="F5" s="2"/>
      <c r="G5" s="9">
        <f t="shared" ref="G5:G7" si="2">I5+J5-H5</f>
        <v>2205.8823</v>
      </c>
      <c r="H5" s="2">
        <v>0.0</v>
      </c>
      <c r="I5" s="2">
        <f>H6</f>
        <v>1102.94115</v>
      </c>
      <c r="J5" s="2">
        <f t="shared" si="1"/>
        <v>1102.94115</v>
      </c>
      <c r="K5" s="2"/>
      <c r="L5" s="7">
        <f t="shared" ref="L5:L6" si="3">N5/$P$4</f>
        <v>1102.94115</v>
      </c>
      <c r="M5" s="2">
        <v>0.0</v>
      </c>
      <c r="N5" s="2">
        <f>M7</f>
        <v>1102.94115</v>
      </c>
      <c r="O5" s="2">
        <f t="shared" ref="O5:O6" si="4">L5+M5-N5</f>
        <v>0</v>
      </c>
      <c r="P5" s="2"/>
      <c r="Q5" s="2">
        <f t="shared" ref="Q5:Q11" si="5">O5</f>
        <v>0</v>
      </c>
      <c r="R5" s="2">
        <v>0.0</v>
      </c>
      <c r="S5" s="2">
        <v>0.0</v>
      </c>
      <c r="T5" s="9">
        <f t="shared" ref="T5:T11" si="6">(1-$U$4)*Q5</f>
        <v>0</v>
      </c>
      <c r="U5" s="2"/>
      <c r="V5" s="2" t="s">
        <v>14</v>
      </c>
    </row>
    <row r="6" ht="15.75" customHeight="1">
      <c r="A6" s="2" t="s">
        <v>15</v>
      </c>
      <c r="B6" s="4">
        <v>0.0</v>
      </c>
      <c r="C6" s="5">
        <v>0.0</v>
      </c>
      <c r="D6" s="5">
        <v>0.0</v>
      </c>
      <c r="E6" s="2">
        <f t="shared" ref="E6:E7" si="7">B6</f>
        <v>0</v>
      </c>
      <c r="F6" s="2"/>
      <c r="G6" s="2">
        <f t="shared" si="2"/>
        <v>0</v>
      </c>
      <c r="H6" s="2">
        <f>H4/3</f>
        <v>1102.94115</v>
      </c>
      <c r="I6" s="2">
        <v>0.0</v>
      </c>
      <c r="J6" s="2">
        <f t="shared" si="1"/>
        <v>1102.94115</v>
      </c>
      <c r="K6" s="2"/>
      <c r="L6" s="7">
        <f t="shared" si="3"/>
        <v>1102.94115</v>
      </c>
      <c r="M6" s="2">
        <v>0.0</v>
      </c>
      <c r="N6" s="2">
        <f>M7</f>
        <v>1102.94115</v>
      </c>
      <c r="O6" s="2">
        <f t="shared" si="4"/>
        <v>0</v>
      </c>
      <c r="P6" s="2"/>
      <c r="Q6" s="2">
        <f t="shared" si="5"/>
        <v>0</v>
      </c>
      <c r="R6" s="2">
        <v>0.0</v>
      </c>
      <c r="S6" s="2">
        <v>0.0</v>
      </c>
      <c r="T6" s="9">
        <f t="shared" si="6"/>
        <v>0</v>
      </c>
      <c r="U6" s="2"/>
      <c r="V6" s="2" t="s">
        <v>15</v>
      </c>
    </row>
    <row r="7" ht="15.75" customHeight="1">
      <c r="A7" s="2" t="s">
        <v>16</v>
      </c>
      <c r="B7" s="4">
        <v>0.0</v>
      </c>
      <c r="C7" s="5">
        <v>0.0</v>
      </c>
      <c r="D7" s="5">
        <v>0.0</v>
      </c>
      <c r="E7" s="2">
        <f t="shared" si="7"/>
        <v>0</v>
      </c>
      <c r="F7" s="2"/>
      <c r="G7" s="2">
        <f t="shared" si="2"/>
        <v>0</v>
      </c>
      <c r="H7" s="2">
        <v>0.0</v>
      </c>
      <c r="I7" s="2">
        <v>0.0</v>
      </c>
      <c r="J7" s="2">
        <f t="shared" si="1"/>
        <v>0</v>
      </c>
      <c r="K7" s="2"/>
      <c r="L7" s="10">
        <v>0.0</v>
      </c>
      <c r="M7" s="2">
        <f>M4</f>
        <v>1102.94115</v>
      </c>
      <c r="N7" s="2">
        <v>0.0</v>
      </c>
      <c r="O7" s="11">
        <v>0.0</v>
      </c>
      <c r="P7" s="2"/>
      <c r="Q7" s="2">
        <f t="shared" si="5"/>
        <v>0</v>
      </c>
      <c r="R7" s="2">
        <v>0.0</v>
      </c>
      <c r="S7" s="2">
        <v>0.0</v>
      </c>
      <c r="T7" s="9">
        <f t="shared" si="6"/>
        <v>0</v>
      </c>
      <c r="U7" s="2"/>
      <c r="V7" s="2" t="s">
        <v>16</v>
      </c>
    </row>
    <row r="8" ht="15.75" customHeight="1">
      <c r="A8" s="2" t="s">
        <v>17</v>
      </c>
      <c r="B8" s="2">
        <f>E8</f>
        <v>1102.94115</v>
      </c>
      <c r="C8" s="5">
        <v>0.0</v>
      </c>
      <c r="D8" s="5">
        <v>0.0</v>
      </c>
      <c r="E8" s="2">
        <f>G8</f>
        <v>1102.94115</v>
      </c>
      <c r="F8" s="2"/>
      <c r="G8" s="2">
        <f>I8/K4</f>
        <v>1102.94115</v>
      </c>
      <c r="H8" s="2">
        <v>0.0</v>
      </c>
      <c r="I8" s="2">
        <f>I5</f>
        <v>1102.94115</v>
      </c>
      <c r="J8" s="2">
        <f>G8+H8-I8</f>
        <v>0</v>
      </c>
      <c r="K8" s="2"/>
      <c r="L8" s="7">
        <f t="shared" ref="L8:L11" si="8">J8</f>
        <v>0</v>
      </c>
      <c r="M8" s="2">
        <v>0.0</v>
      </c>
      <c r="N8" s="2">
        <v>0.0</v>
      </c>
      <c r="O8" s="2">
        <f>L8</f>
        <v>0</v>
      </c>
      <c r="P8" s="2"/>
      <c r="Q8" s="2">
        <f t="shared" si="5"/>
        <v>0</v>
      </c>
      <c r="R8" s="2">
        <v>0.0</v>
      </c>
      <c r="S8" s="2">
        <v>0.0</v>
      </c>
      <c r="T8" s="9">
        <f t="shared" si="6"/>
        <v>0</v>
      </c>
      <c r="U8" s="2"/>
      <c r="V8" s="2" t="s">
        <v>17</v>
      </c>
    </row>
    <row r="9" ht="15.75" customHeight="1">
      <c r="A9" s="2" t="s">
        <v>18</v>
      </c>
      <c r="B9" s="2" t="s">
        <v>19</v>
      </c>
      <c r="C9" s="5">
        <v>0.0</v>
      </c>
      <c r="D9" s="5">
        <v>0.0</v>
      </c>
      <c r="E9" s="9">
        <v>0.0</v>
      </c>
      <c r="F9" s="2"/>
      <c r="G9" s="2">
        <f>E9/K4</f>
        <v>0</v>
      </c>
      <c r="H9" s="2">
        <v>0.0</v>
      </c>
      <c r="I9" s="2">
        <v>0.0</v>
      </c>
      <c r="J9" s="2">
        <f t="shared" ref="J9:J11" si="9">G9</f>
        <v>0</v>
      </c>
      <c r="K9" s="2"/>
      <c r="L9" s="7">
        <f t="shared" si="8"/>
        <v>0</v>
      </c>
      <c r="M9" s="2">
        <v>0.0</v>
      </c>
      <c r="N9" s="2">
        <v>0.0</v>
      </c>
      <c r="O9" s="2">
        <f t="shared" ref="O9:O11" si="10">L9+M9-N9</f>
        <v>0</v>
      </c>
      <c r="P9" s="2"/>
      <c r="Q9" s="2">
        <f t="shared" si="5"/>
        <v>0</v>
      </c>
      <c r="R9" s="2">
        <v>0.0</v>
      </c>
      <c r="S9" s="2">
        <v>0.0</v>
      </c>
      <c r="T9" s="9">
        <f t="shared" si="6"/>
        <v>0</v>
      </c>
      <c r="U9" s="2"/>
      <c r="V9" s="2" t="s">
        <v>18</v>
      </c>
    </row>
    <row r="10" ht="15.75" customHeight="1">
      <c r="A10" s="2" t="s">
        <v>20</v>
      </c>
      <c r="B10" s="2" t="str">
        <f>B9</f>
        <v>Trace</v>
      </c>
      <c r="C10" s="5">
        <v>0.0</v>
      </c>
      <c r="D10" s="5">
        <v>0.0</v>
      </c>
      <c r="E10" s="9">
        <v>0.0</v>
      </c>
      <c r="F10" s="2"/>
      <c r="G10" s="2">
        <f t="shared" ref="G10:G11" si="11">E10</f>
        <v>0</v>
      </c>
      <c r="H10" s="2">
        <v>0.0</v>
      </c>
      <c r="I10" s="2">
        <v>0.0</v>
      </c>
      <c r="J10" s="2">
        <f t="shared" si="9"/>
        <v>0</v>
      </c>
      <c r="K10" s="2"/>
      <c r="L10" s="7">
        <f t="shared" si="8"/>
        <v>0</v>
      </c>
      <c r="M10" s="2">
        <v>0.0</v>
      </c>
      <c r="N10" s="2">
        <v>0.0</v>
      </c>
      <c r="O10" s="2">
        <f t="shared" si="10"/>
        <v>0</v>
      </c>
      <c r="P10" s="2"/>
      <c r="Q10" s="2">
        <f t="shared" si="5"/>
        <v>0</v>
      </c>
      <c r="R10" s="2">
        <v>0.0</v>
      </c>
      <c r="S10" s="2">
        <v>0.0</v>
      </c>
      <c r="T10" s="9">
        <f t="shared" si="6"/>
        <v>0</v>
      </c>
      <c r="U10" s="2"/>
      <c r="V10" s="2" t="s">
        <v>20</v>
      </c>
    </row>
    <row r="11" ht="15.75" customHeight="1">
      <c r="A11" s="2" t="s">
        <v>21</v>
      </c>
      <c r="B11" s="2" t="s">
        <v>19</v>
      </c>
      <c r="C11" s="5">
        <v>0.0</v>
      </c>
      <c r="D11" s="5">
        <v>0.0</v>
      </c>
      <c r="E11" s="9">
        <v>0.0</v>
      </c>
      <c r="F11" s="2"/>
      <c r="G11" s="2">
        <f t="shared" si="11"/>
        <v>0</v>
      </c>
      <c r="H11" s="2">
        <v>0.0</v>
      </c>
      <c r="I11" s="2">
        <v>0.0</v>
      </c>
      <c r="J11" s="2">
        <f t="shared" si="9"/>
        <v>0</v>
      </c>
      <c r="K11" s="2"/>
      <c r="L11" s="7">
        <f t="shared" si="8"/>
        <v>0</v>
      </c>
      <c r="M11" s="2">
        <v>0.0</v>
      </c>
      <c r="N11" s="2">
        <v>0.0</v>
      </c>
      <c r="O11" s="2">
        <f t="shared" si="10"/>
        <v>0</v>
      </c>
      <c r="P11" s="2"/>
      <c r="Q11" s="2">
        <f t="shared" si="5"/>
        <v>0</v>
      </c>
      <c r="R11" s="2">
        <v>0.0</v>
      </c>
      <c r="S11" s="2">
        <v>0.0</v>
      </c>
      <c r="T11" s="9">
        <f t="shared" si="6"/>
        <v>0</v>
      </c>
      <c r="U11" s="2"/>
      <c r="V11" s="2" t="s">
        <v>21</v>
      </c>
    </row>
    <row r="12" ht="15.75" customHeight="1">
      <c r="A12" s="2" t="s">
        <v>22</v>
      </c>
      <c r="B12" s="2" t="s">
        <v>23</v>
      </c>
      <c r="C12" s="5">
        <v>0.0</v>
      </c>
      <c r="D12" s="5">
        <v>0.0</v>
      </c>
      <c r="E12" s="2" t="s">
        <v>24</v>
      </c>
      <c r="F12" s="2"/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24</v>
      </c>
      <c r="R12" s="2">
        <v>0.0</v>
      </c>
      <c r="S12" s="2">
        <v>0.0</v>
      </c>
      <c r="T12" s="9" t="s">
        <v>24</v>
      </c>
      <c r="U12" s="2"/>
      <c r="V12" s="2" t="s">
        <v>22</v>
      </c>
    </row>
    <row r="13" ht="15.75" customHeight="1">
      <c r="A13" s="1" t="s">
        <v>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2">
        <f>B16+B17+B18+B19</f>
        <v>1899.056522</v>
      </c>
      <c r="B14" s="3" t="s">
        <v>26</v>
      </c>
      <c r="F14" s="2"/>
      <c r="G14" s="3" t="s">
        <v>27</v>
      </c>
      <c r="K14" s="2"/>
      <c r="L14" s="3" t="s">
        <v>28</v>
      </c>
      <c r="P14" s="2"/>
      <c r="Q14" s="3" t="s">
        <v>29</v>
      </c>
      <c r="U14" s="2"/>
    </row>
    <row r="15" ht="15.75" customHeight="1">
      <c r="A15" s="2" t="s">
        <v>30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7</v>
      </c>
      <c r="M15" s="2" t="s">
        <v>8</v>
      </c>
      <c r="N15" s="2" t="s">
        <v>9</v>
      </c>
      <c r="O15" s="2" t="s">
        <v>10</v>
      </c>
      <c r="P15" s="2" t="s">
        <v>11</v>
      </c>
      <c r="Q15" s="2" t="s">
        <v>7</v>
      </c>
      <c r="R15" s="2" t="s">
        <v>8</v>
      </c>
      <c r="S15" s="2" t="s">
        <v>9</v>
      </c>
      <c r="T15" s="2" t="s">
        <v>10</v>
      </c>
      <c r="U15" s="2" t="s">
        <v>11</v>
      </c>
    </row>
    <row r="16" ht="15.75" customHeight="1">
      <c r="A16" s="2" t="s">
        <v>31</v>
      </c>
      <c r="B16" s="2">
        <f>E16</f>
        <v>1472.06026</v>
      </c>
      <c r="C16" s="2">
        <v>0.0</v>
      </c>
      <c r="D16" s="2">
        <v>0.0</v>
      </c>
      <c r="E16" s="2">
        <f>G16</f>
        <v>1472.06026</v>
      </c>
      <c r="F16" s="2">
        <v>1.0</v>
      </c>
      <c r="G16" s="2">
        <f>J16</f>
        <v>1472.06026</v>
      </c>
      <c r="H16" s="2">
        <v>0.0</v>
      </c>
      <c r="I16" s="2">
        <v>0.0</v>
      </c>
      <c r="J16" s="2">
        <f>L16</f>
        <v>1472.06026</v>
      </c>
      <c r="K16" s="6">
        <v>1.0</v>
      </c>
      <c r="L16" s="2">
        <f>O16</f>
        <v>1472.06026</v>
      </c>
      <c r="M16" s="2">
        <v>0.0</v>
      </c>
      <c r="N16" s="2">
        <v>0.0</v>
      </c>
      <c r="O16" s="2">
        <f>Q16</f>
        <v>1472.06026</v>
      </c>
      <c r="P16" s="4">
        <v>1.0</v>
      </c>
      <c r="Q16" s="2">
        <f>T16/U16</f>
        <v>1472.06026</v>
      </c>
      <c r="R16" s="2">
        <v>0.0</v>
      </c>
      <c r="S16" s="2">
        <v>0.0</v>
      </c>
      <c r="T16" s="8">
        <f>B25-O25</f>
        <v>1470.5882</v>
      </c>
      <c r="U16" s="2">
        <v>0.999</v>
      </c>
      <c r="V16" s="2" t="s">
        <v>31</v>
      </c>
    </row>
    <row r="17" ht="15.75" customHeight="1">
      <c r="A17" s="2" t="s">
        <v>32</v>
      </c>
      <c r="B17" s="2">
        <f>20.74/78.084*B16</f>
        <v>390.9959761</v>
      </c>
      <c r="C17" s="2">
        <v>0.0</v>
      </c>
      <c r="D17" s="2">
        <v>0.0</v>
      </c>
      <c r="E17" s="2">
        <f t="shared" ref="E17:E18" si="12">B17</f>
        <v>390.9959761</v>
      </c>
      <c r="F17" s="2"/>
      <c r="G17" s="2">
        <f t="shared" ref="G17:G20" si="13">E17</f>
        <v>390.9959761</v>
      </c>
      <c r="H17" s="2">
        <v>0.0</v>
      </c>
      <c r="I17" s="2">
        <v>0.0</v>
      </c>
      <c r="J17" s="2">
        <f t="shared" ref="J17:J19" si="14">G17</f>
        <v>390.9959761</v>
      </c>
      <c r="K17" s="2"/>
      <c r="L17" s="2">
        <f>J17:J19</f>
        <v>390.9959761</v>
      </c>
      <c r="M17" s="2">
        <v>0.0</v>
      </c>
      <c r="N17" s="2">
        <v>0.0</v>
      </c>
      <c r="O17" s="2">
        <f>L17</f>
        <v>390.9959761</v>
      </c>
      <c r="P17" s="2"/>
      <c r="Q17" s="9">
        <f t="shared" ref="Q17:Q20" si="15">O17</f>
        <v>390.9959761</v>
      </c>
      <c r="R17" s="2">
        <v>0.0</v>
      </c>
      <c r="S17" s="2">
        <v>0.0</v>
      </c>
      <c r="T17" s="2">
        <f>(1-U16)*Q17</f>
        <v>0.3909959761</v>
      </c>
      <c r="U17" s="2"/>
      <c r="V17" s="2" t="s">
        <v>32</v>
      </c>
    </row>
    <row r="18" ht="15.75" customHeight="1">
      <c r="A18" s="2" t="s">
        <v>16</v>
      </c>
      <c r="B18" s="2">
        <f>0.0396/78.084*B16</f>
        <v>0.746549694</v>
      </c>
      <c r="C18" s="2">
        <v>0.0</v>
      </c>
      <c r="D18" s="2">
        <v>0.0</v>
      </c>
      <c r="E18" s="2">
        <f t="shared" si="12"/>
        <v>0.746549694</v>
      </c>
      <c r="F18" s="2"/>
      <c r="G18" s="2">
        <f t="shared" si="13"/>
        <v>0.746549694</v>
      </c>
      <c r="H18" s="2">
        <v>0.0</v>
      </c>
      <c r="I18" s="2">
        <v>0.0</v>
      </c>
      <c r="J18" s="2">
        <f t="shared" si="14"/>
        <v>0.746549694</v>
      </c>
      <c r="K18" s="2"/>
      <c r="L18" s="2">
        <f t="shared" ref="L18:L20" si="16">J18</f>
        <v>0.746549694</v>
      </c>
      <c r="M18" s="2">
        <v>0.0</v>
      </c>
      <c r="N18" s="2">
        <v>0.0</v>
      </c>
      <c r="O18" s="9">
        <f>(1-P16)*L18</f>
        <v>0</v>
      </c>
      <c r="P18" s="2"/>
      <c r="Q18" s="2">
        <f t="shared" si="15"/>
        <v>0</v>
      </c>
      <c r="R18" s="2">
        <v>0.0</v>
      </c>
      <c r="S18" s="2">
        <v>0.0</v>
      </c>
      <c r="T18" s="2">
        <f t="shared" ref="T18:T20" si="17">Q18</f>
        <v>0</v>
      </c>
      <c r="U18" s="2"/>
      <c r="V18" s="2" t="s">
        <v>16</v>
      </c>
    </row>
    <row r="19" ht="15.75" customHeight="1">
      <c r="A19" s="2" t="s">
        <v>14</v>
      </c>
      <c r="B19" s="4">
        <f>1.87/78.084*B16</f>
        <v>35.25373555</v>
      </c>
      <c r="C19" s="2">
        <v>0.0</v>
      </c>
      <c r="D19" s="2">
        <v>0.0</v>
      </c>
      <c r="E19" s="12">
        <f>21.8899</f>
        <v>21.8899</v>
      </c>
      <c r="F19" s="2"/>
      <c r="G19" s="2">
        <f t="shared" si="13"/>
        <v>21.8899</v>
      </c>
      <c r="H19" s="2">
        <v>0.0</v>
      </c>
      <c r="I19" s="2">
        <v>0.0</v>
      </c>
      <c r="J19" s="2">
        <f t="shared" si="14"/>
        <v>21.8899</v>
      </c>
      <c r="K19" s="2"/>
      <c r="L19" s="2">
        <f t="shared" si="16"/>
        <v>21.8899</v>
      </c>
      <c r="M19" s="2">
        <v>0.0</v>
      </c>
      <c r="N19" s="2">
        <v>0.0</v>
      </c>
      <c r="O19" s="11">
        <v>0.0</v>
      </c>
      <c r="P19" s="2"/>
      <c r="Q19" s="2">
        <f t="shared" si="15"/>
        <v>0</v>
      </c>
      <c r="R19" s="2">
        <v>0.0</v>
      </c>
      <c r="S19" s="2">
        <v>0.0</v>
      </c>
      <c r="T19" s="2">
        <f t="shared" si="17"/>
        <v>0</v>
      </c>
      <c r="U19" s="2"/>
      <c r="V19" s="2" t="s">
        <v>14</v>
      </c>
    </row>
    <row r="20" ht="15.75" customHeight="1">
      <c r="A20" s="2" t="s">
        <v>33</v>
      </c>
      <c r="B20" s="2" t="s">
        <v>34</v>
      </c>
      <c r="C20" s="2">
        <v>0.0</v>
      </c>
      <c r="D20" s="2">
        <v>0.0</v>
      </c>
      <c r="E20" s="2" t="s">
        <v>34</v>
      </c>
      <c r="F20" s="2"/>
      <c r="G20" s="2" t="str">
        <f t="shared" si="13"/>
        <v> x kg/day</v>
      </c>
      <c r="H20" s="2">
        <v>0.0</v>
      </c>
      <c r="I20" s="2">
        <v>0.0</v>
      </c>
      <c r="J20" s="9">
        <v>0.0</v>
      </c>
      <c r="K20" s="2"/>
      <c r="L20" s="2">
        <f t="shared" si="16"/>
        <v>0</v>
      </c>
      <c r="M20" s="2">
        <v>0.0</v>
      </c>
      <c r="N20" s="2">
        <v>0.0</v>
      </c>
      <c r="O20" s="2">
        <f>L20</f>
        <v>0</v>
      </c>
      <c r="P20" s="2"/>
      <c r="Q20" s="2">
        <f t="shared" si="15"/>
        <v>0</v>
      </c>
      <c r="R20" s="2">
        <v>0.0</v>
      </c>
      <c r="S20" s="2">
        <v>0.0</v>
      </c>
      <c r="T20" s="2">
        <f t="shared" si="17"/>
        <v>0</v>
      </c>
      <c r="U20" s="2"/>
      <c r="V20" s="2" t="s">
        <v>33</v>
      </c>
    </row>
    <row r="21" ht="15.75" customHeight="1">
      <c r="A21" s="1" t="s">
        <v>35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/>
      <c r="B22" s="13" t="s">
        <v>36</v>
      </c>
      <c r="F22" s="2"/>
      <c r="G22" s="13" t="s">
        <v>37</v>
      </c>
      <c r="K22" s="2"/>
      <c r="L22" s="13" t="s">
        <v>38</v>
      </c>
      <c r="P22" s="2"/>
      <c r="Q22" s="2"/>
      <c r="R22" s="2"/>
      <c r="S22" s="2"/>
      <c r="T22" s="2"/>
      <c r="U22" s="2"/>
    </row>
    <row r="23" ht="15.75" customHeight="1">
      <c r="A23" s="2"/>
      <c r="B23" s="2" t="s">
        <v>7</v>
      </c>
      <c r="C23" s="2" t="s">
        <v>8</v>
      </c>
      <c r="D23" s="2" t="s">
        <v>9</v>
      </c>
      <c r="E23" s="2" t="s">
        <v>10</v>
      </c>
      <c r="F23" s="2" t="s">
        <v>12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7</v>
      </c>
      <c r="M23" s="2" t="s">
        <v>8</v>
      </c>
      <c r="N23" s="2" t="s">
        <v>9</v>
      </c>
      <c r="O23" s="2" t="s">
        <v>10</v>
      </c>
      <c r="P23" s="2"/>
      <c r="Q23" s="2"/>
      <c r="R23" s="2">
        <f>Q16-T16</f>
        <v>1.47206026</v>
      </c>
      <c r="S23" s="2"/>
      <c r="T23" s="2"/>
      <c r="U23" s="2"/>
    </row>
    <row r="24" ht="15.75" customHeight="1">
      <c r="A24" s="2" t="s">
        <v>39</v>
      </c>
      <c r="B24" s="5">
        <f>O24</f>
        <v>2.944120521</v>
      </c>
      <c r="C24" s="5">
        <v>2941.1764</v>
      </c>
      <c r="D24" s="5">
        <v>0.0</v>
      </c>
      <c r="E24" s="5">
        <f>G24</f>
        <v>2944.120521</v>
      </c>
      <c r="F24" s="5">
        <v>0.2</v>
      </c>
      <c r="G24" s="5">
        <f>J24/$K$24</f>
        <v>2944.120521</v>
      </c>
      <c r="H24" s="5">
        <v>0.0</v>
      </c>
      <c r="I24" s="5">
        <v>0.0</v>
      </c>
      <c r="J24" s="8">
        <v>2941.1764</v>
      </c>
      <c r="K24" s="14">
        <v>0.999</v>
      </c>
      <c r="L24" s="5">
        <f t="shared" ref="L24:L26" si="18">G24</f>
        <v>2944.120521</v>
      </c>
      <c r="M24" s="5">
        <v>0.0</v>
      </c>
      <c r="N24" s="5">
        <v>0.0</v>
      </c>
      <c r="O24" s="5">
        <f>G24-J24</f>
        <v>2.944120521</v>
      </c>
      <c r="P24" s="2"/>
      <c r="Q24" s="2"/>
      <c r="R24" s="2"/>
      <c r="S24" s="2"/>
      <c r="T24" s="2"/>
      <c r="U24" s="2"/>
    </row>
    <row r="25" ht="15.75" customHeight="1">
      <c r="A25" s="2" t="s">
        <v>31</v>
      </c>
      <c r="B25" s="5">
        <f t="shared" ref="B25:B26" si="19">D25/$F$24</f>
        <v>7352.941</v>
      </c>
      <c r="C25" s="5">
        <v>0.0</v>
      </c>
      <c r="D25" s="5">
        <f>1/2*C24</f>
        <v>1470.5882</v>
      </c>
      <c r="E25" s="5">
        <f t="shared" ref="E25:E26" si="20">B25+C25-D25</f>
        <v>5882.3528</v>
      </c>
      <c r="F25" s="2"/>
      <c r="G25" s="5">
        <f t="shared" ref="G25:G26" si="21">E25</f>
        <v>5882.3528</v>
      </c>
      <c r="H25" s="5">
        <v>0.0</v>
      </c>
      <c r="I25" s="5">
        <v>0.0</v>
      </c>
      <c r="J25" s="6">
        <v>0.0</v>
      </c>
      <c r="K25" s="2"/>
      <c r="L25" s="5">
        <f t="shared" si="18"/>
        <v>5882.3528</v>
      </c>
      <c r="M25" s="5">
        <v>0.0</v>
      </c>
      <c r="N25" s="5">
        <v>0.0</v>
      </c>
      <c r="O25" s="5">
        <f t="shared" ref="O25:O26" si="22">L25</f>
        <v>5882.3528</v>
      </c>
      <c r="P25" s="2">
        <f>O25/T16</f>
        <v>4</v>
      </c>
      <c r="Q25" s="2"/>
      <c r="R25" s="2"/>
      <c r="S25" s="2"/>
      <c r="T25" s="2"/>
      <c r="U25" s="2"/>
    </row>
    <row r="26" ht="15.75" customHeight="1">
      <c r="A26" s="2" t="s">
        <v>13</v>
      </c>
      <c r="B26" s="5">
        <f t="shared" si="19"/>
        <v>22058.823</v>
      </c>
      <c r="C26" s="5">
        <v>0.0</v>
      </c>
      <c r="D26" s="5">
        <f>3/2*C24</f>
        <v>4411.7646</v>
      </c>
      <c r="E26" s="5">
        <f t="shared" si="20"/>
        <v>17647.0584</v>
      </c>
      <c r="F26" s="2"/>
      <c r="G26" s="5">
        <f t="shared" si="21"/>
        <v>17647.0584</v>
      </c>
      <c r="H26" s="5">
        <v>0.0</v>
      </c>
      <c r="I26" s="5">
        <v>0.0</v>
      </c>
      <c r="J26" s="6">
        <v>0.0</v>
      </c>
      <c r="K26" s="2"/>
      <c r="L26" s="5">
        <f t="shared" si="18"/>
        <v>17647.0584</v>
      </c>
      <c r="M26" s="5">
        <v>0.0</v>
      </c>
      <c r="N26" s="5">
        <v>0.0</v>
      </c>
      <c r="O26" s="5">
        <f t="shared" si="22"/>
        <v>17647.0584</v>
      </c>
      <c r="P26" s="2">
        <f>O26/T4</f>
        <v>4</v>
      </c>
      <c r="Q26" s="2"/>
      <c r="R26" s="2"/>
      <c r="S26" s="2"/>
      <c r="T26" s="2"/>
      <c r="U26" s="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4:E14"/>
    <mergeCell ref="B22:E22"/>
    <mergeCell ref="G22:J22"/>
    <mergeCell ref="L22:O22"/>
    <mergeCell ref="A2:E2"/>
    <mergeCell ref="G2:J2"/>
    <mergeCell ref="L2:O2"/>
    <mergeCell ref="Q2:T2"/>
    <mergeCell ref="G14:J14"/>
    <mergeCell ref="L14:O14"/>
    <mergeCell ref="Q14:T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/>
      <c r="B1" s="15"/>
      <c r="C1" s="15"/>
      <c r="D1" s="15"/>
      <c r="E1" s="15"/>
      <c r="F1" s="2"/>
      <c r="G1" s="2"/>
      <c r="H1" s="15"/>
      <c r="I1" s="15"/>
      <c r="J1" s="15"/>
      <c r="K1" s="15"/>
      <c r="L1" s="2"/>
      <c r="M1" s="2"/>
      <c r="N1" s="15"/>
      <c r="O1" s="15"/>
      <c r="P1" s="15"/>
      <c r="Q1" s="15"/>
    </row>
    <row r="2" ht="15.75" customHeight="1">
      <c r="A2" s="2" t="s">
        <v>40</v>
      </c>
      <c r="B2" s="15"/>
      <c r="C2" s="15"/>
      <c r="D2" s="15"/>
      <c r="E2" s="15"/>
      <c r="F2" s="2"/>
      <c r="G2" s="2"/>
      <c r="H2" s="15"/>
      <c r="I2" s="15"/>
      <c r="J2" s="15"/>
      <c r="K2" s="15"/>
      <c r="L2" s="2"/>
      <c r="M2" s="2"/>
      <c r="N2" s="15"/>
      <c r="O2" s="15"/>
      <c r="P2" s="15"/>
      <c r="Q2" s="15"/>
    </row>
    <row r="3" ht="15.75" customHeight="1">
      <c r="A3" s="2"/>
      <c r="B3" s="13" t="s">
        <v>36</v>
      </c>
      <c r="F3" s="2"/>
      <c r="G3" s="2"/>
      <c r="H3" s="13" t="s">
        <v>41</v>
      </c>
      <c r="I3" s="13"/>
      <c r="J3" s="13"/>
      <c r="K3" s="16" t="s">
        <v>42</v>
      </c>
      <c r="L3" s="17" t="s">
        <v>43</v>
      </c>
      <c r="M3" s="2"/>
      <c r="N3" s="15"/>
    </row>
    <row r="4" ht="15.75" customHeight="1">
      <c r="A4" s="2"/>
      <c r="B4" s="2" t="s">
        <v>7</v>
      </c>
      <c r="C4" s="2" t="s">
        <v>8</v>
      </c>
      <c r="D4" s="2" t="s">
        <v>9</v>
      </c>
      <c r="E4" s="2" t="s">
        <v>10</v>
      </c>
      <c r="F4" s="2" t="s">
        <v>44</v>
      </c>
      <c r="G4" s="2"/>
      <c r="H4" s="2" t="s">
        <v>7</v>
      </c>
      <c r="I4" s="2" t="s">
        <v>8</v>
      </c>
      <c r="J4" s="2" t="s">
        <v>9</v>
      </c>
      <c r="K4" s="2" t="s">
        <v>10</v>
      </c>
      <c r="L4" s="2" t="s">
        <v>10</v>
      </c>
      <c r="M4" s="2" t="s">
        <v>45</v>
      </c>
      <c r="N4" s="18"/>
      <c r="O4" s="18"/>
      <c r="P4" s="18"/>
      <c r="Q4" s="18"/>
    </row>
    <row r="5" ht="15.75" customHeight="1">
      <c r="A5" s="2" t="s">
        <v>39</v>
      </c>
      <c r="B5" s="5">
        <f>L5</f>
        <v>0</v>
      </c>
      <c r="C5" s="5">
        <f>E5-B5</f>
        <v>2941.1764</v>
      </c>
      <c r="D5" s="5">
        <v>0.0</v>
      </c>
      <c r="E5" s="5">
        <f>H5</f>
        <v>2941.1764</v>
      </c>
      <c r="F5" s="5">
        <v>0.15</v>
      </c>
      <c r="G5" s="5"/>
      <c r="H5" s="5">
        <f>K5/M5</f>
        <v>2941.1764</v>
      </c>
      <c r="I5" s="5">
        <v>0.0</v>
      </c>
      <c r="J5" s="5">
        <v>0.0</v>
      </c>
      <c r="K5" s="19">
        <v>2941.1764</v>
      </c>
      <c r="L5" s="5">
        <f t="shared" ref="L5:L7" si="1">H5-K5</f>
        <v>0</v>
      </c>
      <c r="M5" s="5">
        <v>1.0</v>
      </c>
      <c r="N5" s="20"/>
      <c r="O5" s="20"/>
      <c r="P5" s="20"/>
      <c r="Q5" s="20"/>
    </row>
    <row r="6" ht="15.75" customHeight="1">
      <c r="A6" s="2" t="s">
        <v>31</v>
      </c>
      <c r="B6" s="5">
        <f>E5/2</f>
        <v>1470.5882</v>
      </c>
      <c r="C6" s="5">
        <v>0.0</v>
      </c>
      <c r="D6" s="5">
        <f>F5*B6</f>
        <v>220.58823</v>
      </c>
      <c r="E6" s="5">
        <f>(1-F5)*B6</f>
        <v>1249.99997</v>
      </c>
      <c r="F6" s="2"/>
      <c r="G6" s="2"/>
      <c r="H6" s="5">
        <f t="shared" ref="H6:H7" si="2">E6</f>
        <v>1249.99997</v>
      </c>
      <c r="I6" s="5">
        <v>0.0</v>
      </c>
      <c r="J6" s="5">
        <v>0.0</v>
      </c>
      <c r="K6" s="5">
        <f>(1-M5)*H6</f>
        <v>0</v>
      </c>
      <c r="L6" s="2">
        <f t="shared" si="1"/>
        <v>1249.99997</v>
      </c>
      <c r="M6" s="2"/>
      <c r="N6" s="20"/>
      <c r="O6" s="20"/>
      <c r="P6" s="20"/>
      <c r="Q6" s="20"/>
    </row>
    <row r="7" ht="15.75" customHeight="1">
      <c r="A7" s="2" t="s">
        <v>13</v>
      </c>
      <c r="B7" s="5">
        <f>E5*1.5</f>
        <v>4411.7646</v>
      </c>
      <c r="C7" s="5">
        <v>0.0</v>
      </c>
      <c r="D7" s="5">
        <f>F5*B7</f>
        <v>661.76469</v>
      </c>
      <c r="E7" s="5">
        <f>(1-F5)*B7</f>
        <v>3749.99991</v>
      </c>
      <c r="F7" s="2"/>
      <c r="G7" s="2"/>
      <c r="H7" s="5">
        <f t="shared" si="2"/>
        <v>3749.99991</v>
      </c>
      <c r="I7" s="5">
        <v>0.0</v>
      </c>
      <c r="J7" s="5">
        <v>0.0</v>
      </c>
      <c r="K7" s="5">
        <f>(1-M5)*H7</f>
        <v>0</v>
      </c>
      <c r="L7" s="2">
        <f t="shared" si="1"/>
        <v>3749.99991</v>
      </c>
      <c r="M7" s="2"/>
      <c r="N7" s="20"/>
      <c r="O7" s="20"/>
      <c r="P7" s="20"/>
      <c r="Q7" s="20"/>
    </row>
    <row r="8" ht="15.75" customHeight="1"/>
    <row r="9" ht="15.75" customHeight="1">
      <c r="A9" s="7" t="s">
        <v>46</v>
      </c>
    </row>
    <row r="10" ht="15.75" customHeight="1">
      <c r="A10" s="2"/>
      <c r="B10" s="3" t="s">
        <v>47</v>
      </c>
      <c r="F10" s="2"/>
      <c r="G10" s="3" t="s">
        <v>27</v>
      </c>
      <c r="K10" s="2"/>
      <c r="L10" s="3" t="s">
        <v>28</v>
      </c>
      <c r="P10" s="2"/>
      <c r="Q10" s="3" t="s">
        <v>29</v>
      </c>
    </row>
    <row r="11" ht="15.75" customHeight="1">
      <c r="A11" s="2"/>
      <c r="B11" s="2" t="s">
        <v>7</v>
      </c>
      <c r="C11" s="2" t="s">
        <v>8</v>
      </c>
      <c r="D11" s="2" t="s">
        <v>9</v>
      </c>
      <c r="E11" s="2" t="s">
        <v>10</v>
      </c>
      <c r="F11" s="2" t="s">
        <v>48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48</v>
      </c>
      <c r="L11" s="2" t="s">
        <v>7</v>
      </c>
      <c r="M11" s="2" t="s">
        <v>8</v>
      </c>
      <c r="N11" s="2" t="s">
        <v>9</v>
      </c>
      <c r="O11" s="2" t="s">
        <v>10</v>
      </c>
      <c r="P11" s="2" t="s">
        <v>48</v>
      </c>
      <c r="Q11" s="2" t="s">
        <v>7</v>
      </c>
      <c r="R11" s="2" t="s">
        <v>8</v>
      </c>
      <c r="S11" s="2" t="s">
        <v>9</v>
      </c>
      <c r="T11" s="2" t="s">
        <v>49</v>
      </c>
      <c r="U11" s="7" t="s">
        <v>50</v>
      </c>
    </row>
    <row r="12" ht="15.75" customHeight="1">
      <c r="A12" s="2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5">
        <v>100.0</v>
      </c>
      <c r="L12" s="2"/>
      <c r="M12" s="2"/>
      <c r="N12" s="2"/>
      <c r="O12" s="2"/>
      <c r="P12" s="2"/>
      <c r="Q12" s="2"/>
      <c r="R12" s="2"/>
      <c r="S12" s="2"/>
      <c r="T12" s="8">
        <f>B6+L6</f>
        <v>2720.58817</v>
      </c>
      <c r="U12" s="7">
        <f>T12*28*10^-3</f>
        <v>76.17646876</v>
      </c>
    </row>
    <row r="13" ht="15.75" customHeight="1">
      <c r="A13" s="2" t="s">
        <v>32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.75" customHeight="1">
      <c r="A14" s="2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.75" customHeight="1">
      <c r="A15" s="2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.75" customHeight="1">
      <c r="A16" s="2" t="s">
        <v>33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.75" customHeight="1"/>
    <row r="18" ht="15.75" customHeight="1"/>
    <row r="19" ht="15.75" customHeight="1">
      <c r="A19" s="1" t="s">
        <v>51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3" t="s">
        <v>1</v>
      </c>
      <c r="F20" s="2"/>
      <c r="G20" s="3" t="s">
        <v>52</v>
      </c>
      <c r="K20" s="2"/>
      <c r="L20" s="3" t="s">
        <v>53</v>
      </c>
      <c r="P20" s="2"/>
      <c r="Q20" s="3" t="s">
        <v>5</v>
      </c>
      <c r="U20" s="2"/>
    </row>
    <row r="21" ht="15.75" customHeight="1">
      <c r="A21" s="2"/>
      <c r="B21" s="2" t="s">
        <v>7</v>
      </c>
      <c r="C21" s="2" t="s">
        <v>8</v>
      </c>
      <c r="D21" s="2" t="s">
        <v>9</v>
      </c>
      <c r="E21" s="2" t="s">
        <v>10</v>
      </c>
      <c r="F21" s="2" t="s">
        <v>48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48</v>
      </c>
      <c r="L21" s="2" t="s">
        <v>7</v>
      </c>
      <c r="M21" s="2" t="s">
        <v>8</v>
      </c>
      <c r="N21" s="2" t="s">
        <v>9</v>
      </c>
      <c r="O21" s="2" t="s">
        <v>10</v>
      </c>
      <c r="P21" s="2" t="s">
        <v>48</v>
      </c>
      <c r="Q21" s="2" t="s">
        <v>7</v>
      </c>
      <c r="R21" s="2" t="s">
        <v>8</v>
      </c>
      <c r="S21" s="2" t="s">
        <v>9</v>
      </c>
      <c r="T21" s="2" t="s">
        <v>49</v>
      </c>
      <c r="U21" s="2" t="s">
        <v>50</v>
      </c>
    </row>
    <row r="22" ht="15.75" customHeight="1">
      <c r="A22" s="2" t="s">
        <v>13</v>
      </c>
      <c r="B22" s="2"/>
      <c r="C22" s="2"/>
      <c r="D22" s="2"/>
      <c r="E22" s="2"/>
      <c r="F22" s="5">
        <v>100.0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8">
        <f>B7+L7</f>
        <v>8161.76451</v>
      </c>
      <c r="U22" s="2">
        <f>T22*2*10^-3</f>
        <v>16.32352902</v>
      </c>
    </row>
    <row r="23" ht="15.75" customHeight="1">
      <c r="A23" s="2" t="s">
        <v>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 t="s">
        <v>15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2" t="s">
        <v>18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2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 t="s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20:J20"/>
    <mergeCell ref="L20:O20"/>
    <mergeCell ref="B3:E3"/>
    <mergeCell ref="N3:Q3"/>
    <mergeCell ref="B10:E10"/>
    <mergeCell ref="G10:J10"/>
    <mergeCell ref="L10:O10"/>
    <mergeCell ref="Q10:T10"/>
    <mergeCell ref="A20:E20"/>
    <mergeCell ref="Q20:T20"/>
  </mergeCells>
  <drawing r:id="rId1"/>
</worksheet>
</file>