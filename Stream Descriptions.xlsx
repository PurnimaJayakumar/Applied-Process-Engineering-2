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<sst xmlns="http://schemas.openxmlformats.org/spreadsheetml/2006/main" count="176" uniqueCount="69">
  <si>
    <t>bar</t>
  </si>
  <si>
    <t>Stream</t>
  </si>
  <si>
    <t>Pressure (bar)</t>
  </si>
  <si>
    <t>Temperature (°C)</t>
  </si>
  <si>
    <t>Composition</t>
  </si>
  <si>
    <t>Velocity Max</t>
  </si>
  <si>
    <t>P Drop Max</t>
  </si>
  <si>
    <t>Reasoning</t>
  </si>
  <si>
    <t>Velocity</t>
  </si>
  <si>
    <t>Diameter</t>
  </si>
  <si>
    <t>N_ST01</t>
  </si>
  <si>
    <t>N2 = 1472.06026, O2 = 380.99598, CO2 = 0.74655, H2O = 35.25374</t>
  </si>
  <si>
    <t>dense, non flammable</t>
  </si>
  <si>
    <t>1. Assume stainless steel roughness</t>
  </si>
  <si>
    <t>N_ST02</t>
  </si>
  <si>
    <t>N2 = 1472.06026, O2 = 380.99598, CO2 = 0.74655, H2O = 21.8899</t>
  </si>
  <si>
    <t>2. rho calculated with Peng Robinson</t>
  </si>
  <si>
    <t>N_ST03</t>
  </si>
  <si>
    <t>3. viscosity considered constant</t>
  </si>
  <si>
    <t>N_ST04</t>
  </si>
  <si>
    <t>Reasoning for max allowable P drop</t>
  </si>
  <si>
    <t>N_ST05</t>
  </si>
  <si>
    <t>N2 = 1472.06026, O2 = 380.99598</t>
  </si>
  <si>
    <t>Inert/oxidant streams → 3–5% of P_abs — process is tolerant, no compression penalty</t>
  </si>
  <si>
    <t>N_ST06</t>
  </si>
  <si>
    <t>H₂-rich/fuel gas streams → 2–3% of P_abs — tighter due to compressor suction sensitivity and reaction equilibrium effects</t>
  </si>
  <si>
    <t>N_ST07</t>
  </si>
  <si>
    <t>N2 = 1470.5882 O2 = 0.39099</t>
  </si>
  <si>
    <t>High-pressure streams (≥100 barg) → 0.5–1% of P_abs — every bar lost in the synthesis loop directly costs compression energy, so kept very tight</t>
  </si>
  <si>
    <t>N_ST08</t>
  </si>
  <si>
    <t>N_ST09</t>
  </si>
  <si>
    <t>A_ST01</t>
  </si>
  <si>
    <t>N2=4411.765 H2=1470.588 NH3=0</t>
  </si>
  <si>
    <t>High P streams</t>
  </si>
  <si>
    <t>A_ST02</t>
  </si>
  <si>
    <t>A_ST03</t>
  </si>
  <si>
    <t>N2=7352.941 H2=22058.823 NH3=2.944</t>
  </si>
  <si>
    <t>A_ST04</t>
  </si>
  <si>
    <t>N2=5882.353 H2=17647.058 NH3=2944</t>
  </si>
  <si>
    <t>A_ST05</t>
  </si>
  <si>
    <t>H2 rich</t>
  </si>
  <si>
    <t>A_ST06</t>
  </si>
  <si>
    <t>A_ST07</t>
  </si>
  <si>
    <t>NH3=2941.176</t>
  </si>
  <si>
    <t>A_ST08</t>
  </si>
  <si>
    <t>N2=5882.353 H2=17647.058 NH3=2.944</t>
  </si>
  <si>
    <t>A_ST09</t>
  </si>
  <si>
    <t>High P stream</t>
  </si>
  <si>
    <t>A_ST10</t>
  </si>
  <si>
    <t>H_ST01</t>
  </si>
  <si>
    <t>CH4=1102.9412</t>
  </si>
  <si>
    <t>fuel gas</t>
  </si>
  <si>
    <t>H_ST02</t>
  </si>
  <si>
    <t>H_ST03</t>
  </si>
  <si>
    <t>H2O=2205.8823</t>
  </si>
  <si>
    <t>H_ST04</t>
  </si>
  <si>
    <t>H2O=2205.8823, CH4=1102.9412</t>
  </si>
  <si>
    <t>H_ST05</t>
  </si>
  <si>
    <t>H_ST06</t>
  </si>
  <si>
    <t>H2=3308.823, CO=1102.9412, H2O=1102.9412</t>
  </si>
  <si>
    <t>H_ST07</t>
  </si>
  <si>
    <t>H_ST08</t>
  </si>
  <si>
    <t>-</t>
  </si>
  <si>
    <t>CO2=1102.9412</t>
  </si>
  <si>
    <t>H_ST09</t>
  </si>
  <si>
    <t>H2=4411.7646</t>
  </si>
  <si>
    <t>H_ST10</t>
  </si>
  <si>
    <t>H_ST11</t>
  </si>
  <si>
    <t>H_ST12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</si>
</sst>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2.13"/>
    <col customWidth="1" min="4" max="4" width="13.75"/>
    <col customWidth="1" min="5" max="5" width="40.75"/>
    <col customWidth="1" min="6" max="6" width="10.38"/>
    <col customWidth="1" min="22" max="22" width="14.38"/>
  </cols>
  <sheetData>
    <row r="1">
      <c r="C1" s="1" t="s">
        <v>0</v>
      </c>
      <c r="E1" s="2"/>
    </row>
    <row r="2">
      <c r="B2" s="3" t="s">
        <v>1</v>
      </c>
      <c r="C2" s="3" t="s">
        <v>2</v>
      </c>
      <c r="D2" s="3" t="s">
        <v>3</v>
      </c>
      <c r="E2" s="4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</row>
    <row r="3">
      <c r="B3" s="1" t="s">
        <v>10</v>
      </c>
      <c r="C3" s="1">
        <v>1.0</v>
      </c>
      <c r="D3" s="1">
        <v>20.0</v>
      </c>
      <c r="E3" s="5" t="s">
        <v>11</v>
      </c>
      <c r="F3" s="1">
        <v>20.0</v>
      </c>
      <c r="G3" s="6">
        <f t="shared" ref="G3:G11" si="1">5/100*C3</f>
        <v>0.05</v>
      </c>
      <c r="H3" s="5" t="s">
        <v>12</v>
      </c>
      <c r="M3" s="1" t="s">
        <v>13</v>
      </c>
    </row>
    <row r="4">
      <c r="B4" s="1" t="s">
        <v>14</v>
      </c>
      <c r="C4" s="1">
        <v>6.0</v>
      </c>
      <c r="D4" s="1">
        <v>222.0</v>
      </c>
      <c r="E4" s="5" t="s">
        <v>15</v>
      </c>
      <c r="F4" s="1">
        <v>20.0</v>
      </c>
      <c r="G4" s="6">
        <f t="shared" si="1"/>
        <v>0.3</v>
      </c>
      <c r="H4" s="5" t="s">
        <v>12</v>
      </c>
      <c r="M4" s="1" t="s">
        <v>16</v>
      </c>
    </row>
    <row r="5">
      <c r="B5" s="1" t="s">
        <v>17</v>
      </c>
      <c r="C5" s="1">
        <v>6.0</v>
      </c>
      <c r="D5" s="1">
        <v>30.0</v>
      </c>
      <c r="E5" s="5" t="s">
        <v>15</v>
      </c>
      <c r="F5" s="1">
        <v>20.0</v>
      </c>
      <c r="G5" s="6">
        <f t="shared" si="1"/>
        <v>0.3</v>
      </c>
      <c r="H5" s="5" t="s">
        <v>12</v>
      </c>
      <c r="M5" s="1" t="s">
        <v>18</v>
      </c>
    </row>
    <row r="6">
      <c r="B6" s="1" t="s">
        <v>19</v>
      </c>
      <c r="C6" s="1">
        <v>6.0</v>
      </c>
      <c r="D6" s="1">
        <v>30.0</v>
      </c>
      <c r="E6" s="5" t="s">
        <v>15</v>
      </c>
      <c r="F6" s="1">
        <v>20.0</v>
      </c>
      <c r="G6" s="6">
        <f t="shared" si="1"/>
        <v>0.3</v>
      </c>
      <c r="H6" s="5" t="s">
        <v>12</v>
      </c>
      <c r="M6" s="1" t="s">
        <v>20</v>
      </c>
    </row>
    <row r="7">
      <c r="B7" s="1" t="s">
        <v>21</v>
      </c>
      <c r="C7" s="1">
        <v>6.0</v>
      </c>
      <c r="D7" s="1">
        <v>30.0</v>
      </c>
      <c r="E7" s="5" t="s">
        <v>22</v>
      </c>
      <c r="F7" s="1">
        <v>20.0</v>
      </c>
      <c r="G7" s="6">
        <f t="shared" si="1"/>
        <v>0.3</v>
      </c>
      <c r="H7" s="5" t="s">
        <v>12</v>
      </c>
      <c r="M7" s="1" t="s">
        <v>23</v>
      </c>
    </row>
    <row r="8">
      <c r="B8" s="1" t="s">
        <v>24</v>
      </c>
      <c r="C8" s="1">
        <v>6.0</v>
      </c>
      <c r="D8" s="1">
        <v>-170.0</v>
      </c>
      <c r="E8" s="5" t="s">
        <v>22</v>
      </c>
      <c r="F8" s="1">
        <v>20.0</v>
      </c>
      <c r="G8" s="6">
        <f t="shared" si="1"/>
        <v>0.3</v>
      </c>
      <c r="H8" s="5" t="s">
        <v>12</v>
      </c>
      <c r="M8" s="1" t="s">
        <v>25</v>
      </c>
    </row>
    <row r="9">
      <c r="B9" s="1" t="s">
        <v>26</v>
      </c>
      <c r="C9" s="1">
        <v>6.0</v>
      </c>
      <c r="D9" s="1">
        <v>-183.0</v>
      </c>
      <c r="E9" s="5" t="s">
        <v>27</v>
      </c>
      <c r="F9" s="1">
        <v>20.0</v>
      </c>
      <c r="G9" s="6">
        <f t="shared" si="1"/>
        <v>0.3</v>
      </c>
      <c r="H9" s="5" t="s">
        <v>12</v>
      </c>
      <c r="M9" s="1" t="s">
        <v>28</v>
      </c>
    </row>
    <row r="10">
      <c r="B10" s="1" t="s">
        <v>29</v>
      </c>
      <c r="C10" s="1">
        <v>10.0</v>
      </c>
      <c r="D10" s="1">
        <v>-170.0</v>
      </c>
      <c r="E10" s="5" t="s">
        <v>27</v>
      </c>
      <c r="F10" s="1">
        <v>20.0</v>
      </c>
      <c r="G10" s="6">
        <f t="shared" si="1"/>
        <v>0.5</v>
      </c>
      <c r="H10" s="5" t="s">
        <v>12</v>
      </c>
    </row>
    <row r="11">
      <c r="B11" s="1" t="s">
        <v>30</v>
      </c>
      <c r="C11" s="1">
        <v>10.0</v>
      </c>
      <c r="D11" s="1">
        <v>27.0</v>
      </c>
      <c r="E11" s="5" t="s">
        <v>27</v>
      </c>
      <c r="F11" s="1">
        <v>20.0</v>
      </c>
      <c r="G11" s="6">
        <f t="shared" si="1"/>
        <v>0.5</v>
      </c>
      <c r="H11" s="5" t="s">
        <v>12</v>
      </c>
    </row>
    <row r="12">
      <c r="E12" s="2"/>
      <c r="H12" s="2"/>
    </row>
    <row r="13">
      <c r="B13" s="1" t="s">
        <v>31</v>
      </c>
      <c r="C13" s="1">
        <v>200.0</v>
      </c>
      <c r="D13" s="1">
        <v>430.0</v>
      </c>
      <c r="E13" s="5" t="s">
        <v>32</v>
      </c>
      <c r="F13" s="1">
        <v>15.0</v>
      </c>
      <c r="G13" s="6">
        <f t="shared" ref="G13:G16" si="2">1/100*C13</f>
        <v>2</v>
      </c>
      <c r="H13" s="1" t="s">
        <v>33</v>
      </c>
    </row>
    <row r="14">
      <c r="B14" s="1" t="s">
        <v>34</v>
      </c>
      <c r="C14" s="1">
        <v>200.0</v>
      </c>
      <c r="D14" s="1">
        <v>450.0</v>
      </c>
      <c r="E14" s="5" t="s">
        <v>32</v>
      </c>
      <c r="F14" s="1">
        <v>15.0</v>
      </c>
      <c r="G14" s="6">
        <f t="shared" si="2"/>
        <v>2</v>
      </c>
      <c r="H14" s="1" t="s">
        <v>33</v>
      </c>
    </row>
    <row r="15">
      <c r="B15" s="1" t="s">
        <v>35</v>
      </c>
      <c r="C15" s="1">
        <v>200.0</v>
      </c>
      <c r="D15" s="1">
        <v>450.0</v>
      </c>
      <c r="E15" s="5" t="s">
        <v>36</v>
      </c>
      <c r="F15" s="1">
        <v>15.0</v>
      </c>
      <c r="G15" s="6">
        <f t="shared" si="2"/>
        <v>2</v>
      </c>
      <c r="H15" s="1" t="s">
        <v>33</v>
      </c>
    </row>
    <row r="16">
      <c r="B16" s="1" t="s">
        <v>37</v>
      </c>
      <c r="C16" s="1">
        <v>200.0</v>
      </c>
      <c r="D16" s="1">
        <v>450.0</v>
      </c>
      <c r="E16" s="5" t="s">
        <v>38</v>
      </c>
      <c r="F16" s="1">
        <v>15.0</v>
      </c>
      <c r="G16" s="6">
        <f t="shared" si="2"/>
        <v>2</v>
      </c>
      <c r="H16" s="1" t="s">
        <v>33</v>
      </c>
    </row>
    <row r="17">
      <c r="B17" s="1" t="s">
        <v>39</v>
      </c>
      <c r="C17" s="1">
        <v>80.0</v>
      </c>
      <c r="D17" s="1">
        <v>450.0</v>
      </c>
      <c r="E17" s="5" t="s">
        <v>38</v>
      </c>
      <c r="F17" s="1">
        <v>30.0</v>
      </c>
      <c r="G17" s="6">
        <f t="shared" ref="G17:G18" si="3">3/100*C17</f>
        <v>2.4</v>
      </c>
      <c r="H17" s="1" t="s">
        <v>40</v>
      </c>
    </row>
    <row r="18">
      <c r="B18" s="1" t="s">
        <v>41</v>
      </c>
      <c r="C18" s="1">
        <v>80.0</v>
      </c>
      <c r="D18" s="1">
        <v>-86.3</v>
      </c>
      <c r="E18" s="5" t="s">
        <v>38</v>
      </c>
      <c r="F18" s="1">
        <v>30.0</v>
      </c>
      <c r="G18" s="6">
        <f t="shared" si="3"/>
        <v>2.4</v>
      </c>
      <c r="H18" s="1" t="s">
        <v>40</v>
      </c>
    </row>
    <row r="19">
      <c r="B19" s="1" t="s">
        <v>42</v>
      </c>
      <c r="C19" s="1">
        <v>80.0</v>
      </c>
      <c r="D19" s="1">
        <v>-86.3</v>
      </c>
      <c r="E19" s="5" t="s">
        <v>43</v>
      </c>
    </row>
    <row r="20">
      <c r="B20" s="1" t="s">
        <v>44</v>
      </c>
      <c r="C20" s="1">
        <v>80.0</v>
      </c>
      <c r="D20" s="1">
        <v>-86.3</v>
      </c>
      <c r="E20" s="5" t="s">
        <v>45</v>
      </c>
      <c r="F20" s="1">
        <v>30.0</v>
      </c>
      <c r="G20" s="6">
        <f>3/100*C20</f>
        <v>2.4</v>
      </c>
      <c r="H20" s="1" t="s">
        <v>40</v>
      </c>
    </row>
    <row r="21">
      <c r="B21" s="1" t="s">
        <v>46</v>
      </c>
      <c r="C21" s="1">
        <v>210.0</v>
      </c>
      <c r="D21" s="1">
        <v>-27.5</v>
      </c>
      <c r="E21" s="5" t="s">
        <v>45</v>
      </c>
      <c r="F21" s="1">
        <v>15.0</v>
      </c>
      <c r="G21" s="6">
        <f t="shared" ref="G21:G22" si="4">1/100*C21</f>
        <v>2.1</v>
      </c>
      <c r="H21" s="1" t="s">
        <v>47</v>
      </c>
    </row>
    <row r="22">
      <c r="B22" s="1" t="s">
        <v>48</v>
      </c>
      <c r="C22" s="1">
        <v>210.0</v>
      </c>
      <c r="D22" s="1">
        <v>450.0</v>
      </c>
      <c r="E22" s="5" t="s">
        <v>45</v>
      </c>
      <c r="F22" s="1">
        <v>15.0</v>
      </c>
      <c r="G22" s="6">
        <f t="shared" si="4"/>
        <v>2.1</v>
      </c>
      <c r="H22" s="1" t="s">
        <v>47</v>
      </c>
    </row>
    <row r="24">
      <c r="B24" s="1" t="s">
        <v>49</v>
      </c>
      <c r="C24" s="1">
        <v>30.0</v>
      </c>
      <c r="D24" s="1">
        <v>400.0</v>
      </c>
      <c r="E24" s="1" t="s">
        <v>50</v>
      </c>
      <c r="F24" s="1">
        <v>30.0</v>
      </c>
      <c r="G24" s="6">
        <f t="shared" ref="G24:G25" si="5">3/100*C24</f>
        <v>0.9</v>
      </c>
      <c r="H24" s="1" t="s">
        <v>51</v>
      </c>
    </row>
    <row r="25">
      <c r="B25" s="1" t="s">
        <v>52</v>
      </c>
      <c r="C25" s="1">
        <v>30.0</v>
      </c>
      <c r="D25" s="1">
        <v>400.0</v>
      </c>
      <c r="E25" s="1" t="s">
        <v>50</v>
      </c>
      <c r="F25" s="1">
        <v>30.0</v>
      </c>
      <c r="G25" s="6">
        <f t="shared" si="5"/>
        <v>0.9</v>
      </c>
      <c r="H25" s="1" t="s">
        <v>51</v>
      </c>
    </row>
    <row r="26">
      <c r="B26" s="1" t="s">
        <v>53</v>
      </c>
      <c r="C26" s="1">
        <v>30.0</v>
      </c>
      <c r="D26" s="1">
        <v>400.0</v>
      </c>
      <c r="E26" s="1" t="s">
        <v>54</v>
      </c>
      <c r="F26" s="1">
        <v>20.0</v>
      </c>
      <c r="G26" s="6">
        <f t="shared" ref="G26:G28" si="6">5/100*C26</f>
        <v>1.5</v>
      </c>
      <c r="H26" s="5" t="s">
        <v>12</v>
      </c>
    </row>
    <row r="27">
      <c r="B27" s="1" t="s">
        <v>55</v>
      </c>
      <c r="C27" s="1">
        <v>30.0</v>
      </c>
      <c r="D27" s="1">
        <v>400.0</v>
      </c>
      <c r="E27" s="1" t="s">
        <v>56</v>
      </c>
      <c r="F27" s="1">
        <v>20.0</v>
      </c>
      <c r="G27" s="6">
        <f t="shared" si="6"/>
        <v>1.5</v>
      </c>
      <c r="H27" s="5" t="s">
        <v>12</v>
      </c>
    </row>
    <row r="28">
      <c r="B28" s="1" t="s">
        <v>57</v>
      </c>
      <c r="C28" s="1">
        <v>30.0</v>
      </c>
      <c r="D28" s="1">
        <v>550.0</v>
      </c>
      <c r="E28" s="1" t="s">
        <v>56</v>
      </c>
      <c r="F28" s="1">
        <v>20.0</v>
      </c>
      <c r="G28" s="6">
        <f t="shared" si="6"/>
        <v>1.5</v>
      </c>
      <c r="H28" s="5" t="s">
        <v>12</v>
      </c>
    </row>
    <row r="29">
      <c r="B29" s="1" t="s">
        <v>58</v>
      </c>
      <c r="C29" s="1">
        <v>30.0</v>
      </c>
      <c r="D29" s="1">
        <v>900.0</v>
      </c>
      <c r="E29" s="1" t="s">
        <v>59</v>
      </c>
      <c r="F29" s="1">
        <v>30.0</v>
      </c>
      <c r="G29" s="6">
        <f t="shared" ref="G29:G35" si="7">3/100*C29</f>
        <v>0.9</v>
      </c>
      <c r="H29" s="1" t="s">
        <v>40</v>
      </c>
    </row>
    <row r="30">
      <c r="B30" s="1" t="s">
        <v>60</v>
      </c>
      <c r="C30" s="1">
        <v>30.0</v>
      </c>
      <c r="D30" s="1">
        <v>350.0</v>
      </c>
      <c r="E30" s="1" t="s">
        <v>59</v>
      </c>
      <c r="F30" s="1">
        <v>30.0</v>
      </c>
      <c r="G30" s="6">
        <f t="shared" si="7"/>
        <v>0.9</v>
      </c>
      <c r="H30" s="1" t="s">
        <v>40</v>
      </c>
    </row>
    <row r="31">
      <c r="B31" s="1" t="s">
        <v>61</v>
      </c>
      <c r="C31" s="1">
        <v>30.0</v>
      </c>
      <c r="D31" s="1" t="s">
        <v>62</v>
      </c>
      <c r="E31" s="1" t="s">
        <v>63</v>
      </c>
      <c r="G31" s="6">
        <f t="shared" si="7"/>
        <v>0.9</v>
      </c>
    </row>
    <row r="32">
      <c r="B32" s="1" t="s">
        <v>64</v>
      </c>
      <c r="C32" s="1">
        <v>30.0</v>
      </c>
      <c r="D32" s="1">
        <v>260.0</v>
      </c>
      <c r="E32" s="1" t="s">
        <v>65</v>
      </c>
      <c r="F32" s="1">
        <v>30.0</v>
      </c>
      <c r="G32" s="6">
        <f t="shared" si="7"/>
        <v>0.9</v>
      </c>
      <c r="H32" s="1" t="s">
        <v>40</v>
      </c>
    </row>
    <row r="33">
      <c r="B33" s="1" t="s">
        <v>66</v>
      </c>
      <c r="C33" s="1">
        <v>30.0</v>
      </c>
      <c r="D33" s="1">
        <v>27.0</v>
      </c>
      <c r="E33" s="1" t="s">
        <v>65</v>
      </c>
      <c r="F33" s="1">
        <v>30.0</v>
      </c>
      <c r="G33" s="6">
        <f t="shared" si="7"/>
        <v>0.9</v>
      </c>
      <c r="H33" s="1" t="s">
        <v>40</v>
      </c>
    </row>
    <row r="34">
      <c r="B34" s="1" t="s">
        <v>67</v>
      </c>
      <c r="C34" s="1">
        <v>30.0</v>
      </c>
      <c r="D34" s="1">
        <v>27.0</v>
      </c>
      <c r="E34" s="1" t="s">
        <v>65</v>
      </c>
      <c r="F34" s="1">
        <v>30.0</v>
      </c>
      <c r="G34" s="6">
        <f t="shared" si="7"/>
        <v>0.9</v>
      </c>
      <c r="H34" s="1" t="s">
        <v>40</v>
      </c>
    </row>
    <row r="35">
      <c r="B35" s="1" t="s">
        <v>68</v>
      </c>
      <c r="C35" s="1">
        <v>10.0</v>
      </c>
      <c r="D35" s="1">
        <v>27.0</v>
      </c>
      <c r="E35" s="1" t="s">
        <v>65</v>
      </c>
      <c r="F35" s="1">
        <v>30.0</v>
      </c>
      <c r="G35" s="6">
        <f t="shared" si="7"/>
        <v>0.3</v>
      </c>
      <c r="H35" s="1" t="s">
        <v>40</v>
      </c>
    </row>
    <row r="37">
      <c r="T37" s="3" t="s">
        <v>1</v>
      </c>
      <c r="U37" s="3" t="s">
        <v>2</v>
      </c>
      <c r="V37" s="3" t="s">
        <v>3</v>
      </c>
      <c r="W37" s="3" t="s">
        <v>5</v>
      </c>
      <c r="X37" s="3" t="s">
        <v>6</v>
      </c>
      <c r="Y37" s="3" t="s">
        <v>7</v>
      </c>
    </row>
    <row r="38">
      <c r="T38" s="1" t="s">
        <v>10</v>
      </c>
      <c r="U38" s="1">
        <v>1.0</v>
      </c>
      <c r="V38" s="1">
        <v>20.0</v>
      </c>
      <c r="W38" s="1">
        <v>20.0</v>
      </c>
      <c r="X38" s="6">
        <f t="shared" ref="X38:X46" si="8">5/100*U38</f>
        <v>0.05</v>
      </c>
      <c r="Y38" s="5" t="s">
        <v>12</v>
      </c>
    </row>
    <row r="39">
      <c r="T39" s="1" t="s">
        <v>14</v>
      </c>
      <c r="U39" s="1">
        <v>6.0</v>
      </c>
      <c r="V39" s="1">
        <v>222.0</v>
      </c>
      <c r="W39" s="1">
        <v>20.0</v>
      </c>
      <c r="X39" s="6">
        <f t="shared" si="8"/>
        <v>0.3</v>
      </c>
      <c r="Y39" s="5" t="s">
        <v>12</v>
      </c>
    </row>
    <row r="40">
      <c r="T40" s="1" t="s">
        <v>17</v>
      </c>
      <c r="U40" s="1">
        <v>6.0</v>
      </c>
      <c r="V40" s="1">
        <v>30.0</v>
      </c>
      <c r="W40" s="1">
        <v>20.0</v>
      </c>
      <c r="X40" s="6">
        <f t="shared" si="8"/>
        <v>0.3</v>
      </c>
      <c r="Y40" s="5" t="s">
        <v>12</v>
      </c>
    </row>
    <row r="41">
      <c r="T41" s="1" t="s">
        <v>19</v>
      </c>
      <c r="U41" s="1">
        <v>6.0</v>
      </c>
      <c r="V41" s="1">
        <v>30.0</v>
      </c>
      <c r="W41" s="1">
        <v>20.0</v>
      </c>
      <c r="X41" s="6">
        <f t="shared" si="8"/>
        <v>0.3</v>
      </c>
      <c r="Y41" s="5" t="s">
        <v>12</v>
      </c>
    </row>
    <row r="42">
      <c r="T42" s="1" t="s">
        <v>21</v>
      </c>
      <c r="U42" s="1">
        <v>6.0</v>
      </c>
      <c r="V42" s="1">
        <v>30.0</v>
      </c>
      <c r="W42" s="1">
        <v>20.0</v>
      </c>
      <c r="X42" s="6">
        <f t="shared" si="8"/>
        <v>0.3</v>
      </c>
      <c r="Y42" s="5" t="s">
        <v>12</v>
      </c>
    </row>
    <row r="43">
      <c r="T43" s="1" t="s">
        <v>24</v>
      </c>
      <c r="U43" s="1">
        <v>6.0</v>
      </c>
      <c r="V43" s="1">
        <v>-170.0</v>
      </c>
      <c r="W43" s="1">
        <v>20.0</v>
      </c>
      <c r="X43" s="6">
        <f t="shared" si="8"/>
        <v>0.3</v>
      </c>
      <c r="Y43" s="5" t="s">
        <v>12</v>
      </c>
    </row>
    <row r="44">
      <c r="T44" s="1" t="s">
        <v>26</v>
      </c>
      <c r="U44" s="1">
        <v>6.0</v>
      </c>
      <c r="V44" s="1">
        <v>-183.0</v>
      </c>
      <c r="W44" s="1">
        <v>20.0</v>
      </c>
      <c r="X44" s="6">
        <f t="shared" si="8"/>
        <v>0.3</v>
      </c>
      <c r="Y44" s="5" t="s">
        <v>12</v>
      </c>
    </row>
    <row r="45">
      <c r="T45" s="1" t="s">
        <v>29</v>
      </c>
      <c r="U45" s="1">
        <v>10.0</v>
      </c>
      <c r="V45" s="1">
        <v>-170.0</v>
      </c>
      <c r="W45" s="1">
        <v>20.0</v>
      </c>
      <c r="X45" s="6">
        <f t="shared" si="8"/>
        <v>0.5</v>
      </c>
      <c r="Y45" s="5" t="s">
        <v>12</v>
      </c>
    </row>
    <row r="46">
      <c r="T46" s="1" t="s">
        <v>30</v>
      </c>
      <c r="U46" s="1">
        <v>10.0</v>
      </c>
      <c r="V46" s="1">
        <v>27.0</v>
      </c>
      <c r="W46" s="1">
        <v>20.0</v>
      </c>
      <c r="X46" s="6">
        <f t="shared" si="8"/>
        <v>0.5</v>
      </c>
      <c r="Y46" s="5" t="s">
        <v>12</v>
      </c>
    </row>
    <row r="47">
      <c r="Y47" s="2"/>
    </row>
    <row r="48">
      <c r="T48" s="1" t="s">
        <v>31</v>
      </c>
      <c r="U48" s="1">
        <v>200.0</v>
      </c>
      <c r="V48" s="1">
        <v>430.0</v>
      </c>
      <c r="W48" s="1">
        <v>15.0</v>
      </c>
      <c r="X48" s="6">
        <f t="shared" ref="X48:X51" si="9">1/100*U48</f>
        <v>2</v>
      </c>
      <c r="Y48" s="1" t="s">
        <v>33</v>
      </c>
    </row>
    <row r="49">
      <c r="T49" s="1" t="s">
        <v>34</v>
      </c>
      <c r="U49" s="1">
        <v>200.0</v>
      </c>
      <c r="V49" s="1">
        <v>450.0</v>
      </c>
      <c r="W49" s="1">
        <v>15.0</v>
      </c>
      <c r="X49" s="6">
        <f t="shared" si="9"/>
        <v>2</v>
      </c>
      <c r="Y49" s="1" t="s">
        <v>33</v>
      </c>
    </row>
    <row r="50">
      <c r="T50" s="1" t="s">
        <v>35</v>
      </c>
      <c r="U50" s="1">
        <v>200.0</v>
      </c>
      <c r="V50" s="1">
        <v>450.0</v>
      </c>
      <c r="W50" s="1">
        <v>15.0</v>
      </c>
      <c r="X50" s="6">
        <f t="shared" si="9"/>
        <v>2</v>
      </c>
      <c r="Y50" s="1" t="s">
        <v>33</v>
      </c>
    </row>
    <row r="51">
      <c r="T51" s="1" t="s">
        <v>37</v>
      </c>
      <c r="U51" s="1">
        <v>200.0</v>
      </c>
      <c r="V51" s="1">
        <v>450.0</v>
      </c>
      <c r="W51" s="1">
        <v>15.0</v>
      </c>
      <c r="X51" s="6">
        <f t="shared" si="9"/>
        <v>2</v>
      </c>
      <c r="Y51" s="1" t="s">
        <v>33</v>
      </c>
    </row>
    <row r="52">
      <c r="T52" s="1" t="s">
        <v>39</v>
      </c>
      <c r="U52" s="1">
        <v>80.0</v>
      </c>
      <c r="V52" s="1">
        <v>450.0</v>
      </c>
      <c r="W52" s="1">
        <v>30.0</v>
      </c>
      <c r="X52" s="6">
        <f t="shared" ref="X52:X53" si="10">3/100*U52</f>
        <v>2.4</v>
      </c>
      <c r="Y52" s="1" t="s">
        <v>40</v>
      </c>
    </row>
    <row r="53">
      <c r="T53" s="1" t="s">
        <v>41</v>
      </c>
      <c r="U53" s="1">
        <v>80.0</v>
      </c>
      <c r="V53" s="1">
        <v>-25.0</v>
      </c>
      <c r="W53" s="1">
        <v>30.0</v>
      </c>
      <c r="X53" s="6">
        <f t="shared" si="10"/>
        <v>2.4</v>
      </c>
      <c r="Y53" s="1" t="s">
        <v>40</v>
      </c>
    </row>
    <row r="54">
      <c r="T54" s="1" t="s">
        <v>42</v>
      </c>
      <c r="U54" s="1">
        <v>80.0</v>
      </c>
      <c r="V54" s="1">
        <v>-25.0</v>
      </c>
    </row>
    <row r="55">
      <c r="T55" s="1" t="s">
        <v>44</v>
      </c>
      <c r="U55" s="1">
        <v>80.0</v>
      </c>
      <c r="V55" s="1">
        <v>-25.0</v>
      </c>
      <c r="W55" s="1">
        <v>30.0</v>
      </c>
      <c r="X55" s="6">
        <f>3/100*U55</f>
        <v>2.4</v>
      </c>
      <c r="Y55" s="1" t="s">
        <v>40</v>
      </c>
    </row>
    <row r="56">
      <c r="T56" s="1" t="s">
        <v>46</v>
      </c>
      <c r="U56" s="1">
        <v>210.0</v>
      </c>
      <c r="V56" s="1">
        <v>50.0</v>
      </c>
      <c r="W56" s="1">
        <v>15.0</v>
      </c>
      <c r="X56" s="6">
        <f t="shared" ref="X56:X57" si="11">1/100*U56</f>
        <v>2.1</v>
      </c>
      <c r="Y56" s="1" t="s">
        <v>47</v>
      </c>
    </row>
    <row r="57">
      <c r="T57" s="1" t="s">
        <v>48</v>
      </c>
      <c r="U57" s="1">
        <v>210.0</v>
      </c>
      <c r="V57" s="1">
        <v>450.0</v>
      </c>
      <c r="W57" s="1">
        <v>15.0</v>
      </c>
      <c r="X57" s="6">
        <f t="shared" si="11"/>
        <v>2.1</v>
      </c>
      <c r="Y57" s="1" t="s">
        <v>47</v>
      </c>
    </row>
    <row r="59">
      <c r="T59" s="1" t="s">
        <v>49</v>
      </c>
      <c r="U59" s="1">
        <v>30.0</v>
      </c>
      <c r="V59" s="1">
        <v>400.0</v>
      </c>
      <c r="W59" s="1">
        <v>30.0</v>
      </c>
      <c r="X59" s="6">
        <f t="shared" ref="X59:X60" si="12">3/100*U59</f>
        <v>0.9</v>
      </c>
      <c r="Y59" s="1" t="s">
        <v>51</v>
      </c>
    </row>
    <row r="60">
      <c r="T60" s="1" t="s">
        <v>52</v>
      </c>
      <c r="U60" s="1">
        <v>30.0</v>
      </c>
      <c r="V60" s="1">
        <v>400.0</v>
      </c>
      <c r="W60" s="1">
        <v>30.0</v>
      </c>
      <c r="X60" s="6">
        <f t="shared" si="12"/>
        <v>0.9</v>
      </c>
      <c r="Y60" s="1" t="s">
        <v>51</v>
      </c>
    </row>
    <row r="61">
      <c r="T61" s="1" t="s">
        <v>53</v>
      </c>
      <c r="U61" s="1">
        <v>30.0</v>
      </c>
      <c r="V61" s="1">
        <v>400.0</v>
      </c>
      <c r="W61" s="1">
        <v>20.0</v>
      </c>
      <c r="X61" s="6">
        <f t="shared" ref="X61:X63" si="13">5/100*U61</f>
        <v>1.5</v>
      </c>
      <c r="Y61" s="5" t="s">
        <v>12</v>
      </c>
    </row>
    <row r="62">
      <c r="T62" s="1" t="s">
        <v>55</v>
      </c>
      <c r="U62" s="1">
        <v>30.0</v>
      </c>
      <c r="V62" s="1">
        <v>400.0</v>
      </c>
      <c r="W62" s="1">
        <v>20.0</v>
      </c>
      <c r="X62" s="6">
        <f t="shared" si="13"/>
        <v>1.5</v>
      </c>
      <c r="Y62" s="5" t="s">
        <v>12</v>
      </c>
    </row>
    <row r="63">
      <c r="T63" s="1" t="s">
        <v>57</v>
      </c>
      <c r="U63" s="1">
        <v>30.0</v>
      </c>
      <c r="V63" s="1">
        <v>550.0</v>
      </c>
      <c r="W63" s="1">
        <v>20.0</v>
      </c>
      <c r="X63" s="6">
        <f t="shared" si="13"/>
        <v>1.5</v>
      </c>
      <c r="Y63" s="5" t="s">
        <v>12</v>
      </c>
    </row>
    <row r="64">
      <c r="T64" s="1" t="s">
        <v>58</v>
      </c>
      <c r="U64" s="1">
        <v>30.0</v>
      </c>
      <c r="V64" s="1">
        <v>900.0</v>
      </c>
      <c r="W64" s="1">
        <v>30.0</v>
      </c>
      <c r="X64" s="6">
        <f t="shared" ref="X64:X70" si="14">3/100*U64</f>
        <v>0.9</v>
      </c>
      <c r="Y64" s="1" t="s">
        <v>40</v>
      </c>
    </row>
    <row r="65">
      <c r="T65" s="1" t="s">
        <v>60</v>
      </c>
      <c r="U65" s="1">
        <v>30.0</v>
      </c>
      <c r="V65" s="1">
        <v>350.0</v>
      </c>
      <c r="W65" s="1">
        <v>30.0</v>
      </c>
      <c r="X65" s="6">
        <f t="shared" si="14"/>
        <v>0.9</v>
      </c>
      <c r="Y65" s="1" t="s">
        <v>40</v>
      </c>
    </row>
    <row r="66">
      <c r="T66" s="1" t="s">
        <v>61</v>
      </c>
      <c r="U66" s="1">
        <v>30.0</v>
      </c>
      <c r="V66" s="1" t="s">
        <v>62</v>
      </c>
      <c r="X66" s="6">
        <f t="shared" si="14"/>
        <v>0.9</v>
      </c>
    </row>
    <row r="67">
      <c r="T67" s="1" t="s">
        <v>64</v>
      </c>
      <c r="U67" s="1">
        <v>30.0</v>
      </c>
      <c r="V67" s="1">
        <v>260.0</v>
      </c>
      <c r="W67" s="1">
        <v>30.0</v>
      </c>
      <c r="X67" s="6">
        <f t="shared" si="14"/>
        <v>0.9</v>
      </c>
      <c r="Y67" s="1" t="s">
        <v>40</v>
      </c>
    </row>
    <row r="68">
      <c r="T68" s="1" t="s">
        <v>66</v>
      </c>
      <c r="U68" s="1">
        <v>30.0</v>
      </c>
      <c r="V68" s="1">
        <v>27.0</v>
      </c>
      <c r="W68" s="1">
        <v>30.0</v>
      </c>
      <c r="X68" s="6">
        <f t="shared" si="14"/>
        <v>0.9</v>
      </c>
      <c r="Y68" s="1" t="s">
        <v>40</v>
      </c>
    </row>
    <row r="69">
      <c r="T69" s="1" t="s">
        <v>67</v>
      </c>
      <c r="U69" s="1">
        <v>30.0</v>
      </c>
      <c r="V69" s="1">
        <v>27.0</v>
      </c>
      <c r="W69" s="1">
        <v>30.0</v>
      </c>
      <c r="X69" s="6">
        <f t="shared" si="14"/>
        <v>0.9</v>
      </c>
      <c r="Y69" s="1" t="s">
        <v>40</v>
      </c>
    </row>
    <row r="70">
      <c r="T70" s="1" t="s">
        <v>68</v>
      </c>
      <c r="U70" s="1">
        <v>10.0</v>
      </c>
      <c r="V70" s="1">
        <v>27.0</v>
      </c>
      <c r="W70" s="1">
        <v>30.0</v>
      </c>
      <c r="X70" s="6">
        <f t="shared" si="14"/>
        <v>0.3</v>
      </c>
      <c r="Y70" s="1" t="s">
        <v>40</v>
      </c>
    </row>
  </sheetData>
  <drawing r:id="rId1"/>
</worksheet>
</file>